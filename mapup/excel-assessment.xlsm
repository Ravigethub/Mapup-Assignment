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Ravi\Downloads\mapup\"/>
    </mc:Choice>
  </mc:AlternateContent>
  <xr:revisionPtr revIDLastSave="0" documentId="13_ncr:1_{0A997982-83F2-404A-A631-615536B0E26F}" xr6:coauthVersionLast="47" xr6:coauthVersionMax="47" xr10:uidLastSave="{00000000-0000-0000-0000-000000000000}"/>
  <bookViews>
    <workbookView xWindow="-110" yWindow="-110" windowWidth="19420" windowHeight="10300" tabRatio="849" activeTab="1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externalReferences>
    <externalReference r:id="rId8"/>
  </externalReference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Table1">Task_5!$A$9:$J$18</definedName>
    <definedName name="Table2">Task_5!$M$9:$N$18</definedName>
    <definedName name="TableA">Task_5!$B$10:$J$18</definedName>
    <definedName name="TableB">Task_5!$M$10:$N$18</definedName>
  </definedNames>
  <calcPr calcId="191029"/>
</workbook>
</file>

<file path=xl/calcChain.xml><?xml version="1.0" encoding="utf-8"?>
<calcChain xmlns="http://schemas.openxmlformats.org/spreadsheetml/2006/main">
  <c r="C23" i="20" l="1"/>
  <c r="C24" i="20"/>
  <c r="C25" i="20"/>
  <c r="C26" i="20"/>
  <c r="C27" i="20"/>
  <c r="C28" i="20"/>
  <c r="C29" i="20"/>
  <c r="C30" i="20"/>
  <c r="C31" i="20"/>
  <c r="C32" i="20"/>
  <c r="C33" i="20"/>
  <c r="C34" i="20"/>
  <c r="C35" i="20"/>
  <c r="C22" i="19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7" i="18"/>
  <c r="F29" i="18" s="1"/>
  <c r="F8" i="18"/>
  <c r="F9" i="18"/>
  <c r="F10" i="18"/>
  <c r="F11" i="18"/>
  <c r="F12" i="18"/>
  <c r="F13" i="18"/>
  <c r="F6" i="18"/>
  <c r="F28" i="18" s="1"/>
  <c r="E19" i="18"/>
  <c r="E20" i="18"/>
  <c r="E21" i="18"/>
  <c r="E22" i="18"/>
  <c r="E23" i="18"/>
  <c r="E24" i="18"/>
  <c r="E25" i="18"/>
  <c r="E26" i="18"/>
  <c r="E27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6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7" i="18"/>
  <c r="D8" i="18"/>
  <c r="D9" i="18"/>
  <c r="D10" i="18"/>
  <c r="D11" i="18"/>
  <c r="D12" i="18"/>
  <c r="D13" i="18"/>
  <c r="D14" i="18"/>
  <c r="D6" i="18"/>
  <c r="C21" i="18"/>
  <c r="C22" i="18"/>
  <c r="C23" i="18"/>
  <c r="C24" i="18"/>
  <c r="C25" i="18"/>
  <c r="C26" i="18"/>
  <c r="C27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6" i="18"/>
  <c r="B6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7" i="18"/>
  <c r="B8" i="18"/>
  <c r="B28" i="18" s="1"/>
  <c r="B9" i="18"/>
  <c r="B10" i="18"/>
  <c r="B11" i="18"/>
  <c r="B12" i="18"/>
  <c r="B13" i="18"/>
  <c r="B14" i="18"/>
  <c r="D5" i="15"/>
  <c r="B30" i="18" l="1"/>
  <c r="E28" i="18"/>
  <c r="D28" i="18"/>
  <c r="F30" i="18"/>
  <c r="B29" i="18"/>
  <c r="C28" i="18"/>
  <c r="C29" i="18" s="1"/>
  <c r="E29" i="18" l="1"/>
  <c r="E30" i="18" s="1"/>
  <c r="D29" i="18"/>
  <c r="D30" i="18" s="1"/>
  <c r="C30" i="18"/>
</calcChain>
</file>

<file path=xl/sharedStrings.xml><?xml version="1.0" encoding="utf-8"?>
<sst xmlns="http://schemas.openxmlformats.org/spreadsheetml/2006/main" count="405" uniqueCount="182">
  <si>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</si>
  <si>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</si>
  <si>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</si>
  <si>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</si>
  <si>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</si>
  <si>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</si>
  <si>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</si>
  <si>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</si>
  <si>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</si>
  <si>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</si>
  <si>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</si>
  <si>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</si>
  <si>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</si>
  <si>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</si>
  <si>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</si>
  <si>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</si>
  <si>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</si>
  <si>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</si>
  <si>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</si>
  <si>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</si>
  <si>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</si>
  <si>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</si>
  <si>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</si>
  <si>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</si>
  <si>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</si>
  <si>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</si>
  <si>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</si>
  <si>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</si>
  <si>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</si>
  <si>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</si>
  <si>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</si>
  <si>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</si>
  <si>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</si>
  <si>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</si>
  <si>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</si>
  <si>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</si>
  <si>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</si>
  <si>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</si>
  <si>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</si>
  <si>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</si>
  <si>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</si>
  <si>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</si>
  <si>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</si>
  <si>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</si>
  <si>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</si>
  <si>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</si>
  <si>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</si>
  <si>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</si>
  <si>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</si>
  <si>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</si>
  <si>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</si>
  <si>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</si>
  <si>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</si>
  <si>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</si>
  <si>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</si>
  <si>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</si>
  <si>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</si>
  <si>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</si>
  <si>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</si>
  <si>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</si>
  <si>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</si>
  <si>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</si>
  <si>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</si>
  <si>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</si>
  <si>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</si>
  <si>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</si>
  <si>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</si>
  <si>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</si>
  <si>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</si>
  <si>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</si>
  <si>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</si>
  <si>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</si>
  <si>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</si>
  <si>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</si>
  <si>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</si>
  <si>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</si>
  <si>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</si>
  <si>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</si>
  <si>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</si>
  <si>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</si>
  <si>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</si>
  <si>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</si>
  <si>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</si>
  <si>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</si>
  <si>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</si>
  <si>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</si>
  <si>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</si>
  <si>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</si>
  <si>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</si>
  <si>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</si>
  <si>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</si>
  <si>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</si>
  <si>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</si>
  <si>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</si>
  <si>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</si>
  <si>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</si>
  <si>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</si>
  <si>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</si>
  <si>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</si>
  <si>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</si>
  <si>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</si>
  <si>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</si>
  <si>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</si>
  <si>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</si>
  <si>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</si>
  <si>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Please paste formula used here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</si>
  <si>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</si>
  <si>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</si>
  <si>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</si>
  <si>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</si>
  <si>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</si>
  <si>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</si>
  <si>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</si>
  <si>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</si>
  <si>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</si>
  <si>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</si>
  <si>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</si>
  <si>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</si>
  <si>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</si>
  <si>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</si>
  <si>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</si>
  <si>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</si>
  <si>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</si>
  <si>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</si>
  <si>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</si>
  <si>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</si>
  <si>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</si>
  <si>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</si>
  <si>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</si>
  <si>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</si>
  <si>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</si>
  <si>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</si>
  <si>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</si>
  <si>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</si>
  <si>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</si>
  <si>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</si>
  <si>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</si>
  <si>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</si>
  <si>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</si>
  <si>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</si>
  <si>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</si>
  <si>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</si>
  <si>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</si>
  <si>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</si>
  <si>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</si>
  <si>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</si>
  <si>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</si>
  <si>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</si>
  <si>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</si>
  <si>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</si>
  <si>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</si>
  <si>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</si>
  <si>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</si>
  <si>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</si>
  <si>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</si>
  <si>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</si>
  <si>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</si>
  <si>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</si>
  <si>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</si>
  <si>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</si>
  <si>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</si>
  <si>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</si>
  <si>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</si>
  <si>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</si>
  <si>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</si>
  <si>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</si>
  <si>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</si>
  <si>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</si>
  <si>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</si>
  <si>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</si>
  <si>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</si>
  <si>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</si>
  <si>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</si>
  <si>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</si>
  <si>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</si>
  <si>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</si>
  <si>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</si>
  <si>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</si>
  <si>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AGGREGATE(9,2,C12:C21)</t>
  </si>
  <si>
    <t>We can use aggrate function if we have zero error and Na error in our table. It is similer to sub total function, so we used 9 in our formula, 2 for ignore errors and nested subtotals</t>
  </si>
  <si>
    <t>VLOOKUP(B23,IF(A23=2,Table1,Table2),2)</t>
  </si>
  <si>
    <t xml:space="preserve">By using Vloopup formula I got the values first I selected name2 for vlookup values in tables c then I using equal of two tables to find the id and names of tableA, Table B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</si>
</sst>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dd/mm/yyyy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7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166" fontId="3" fillId="0" borderId="0" xfId="0" applyNumberFormat="1" applyFont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12" fillId="0" borderId="5" xfId="1" applyFont="1" applyBorder="1" applyAlignment="1">
      <alignment horizontal="center"/>
    </xf>
    <xf numFmtId="0" fontId="8" fillId="0" borderId="0" xfId="0" applyFont="1" applyAlignment="1">
      <alignment horizontal="left"/>
    </xf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3"/>
      <tableStyleElement type="headerRow" dxfId="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Ravi\Downloads\mapup\task1%20excel.xlsx" TargetMode="External"/><Relationship Id="rId1" Type="http://schemas.openxmlformats.org/officeDocument/2006/relationships/externalLinkPath" Target="task1%20excel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Task1"/>
      <sheetName val="Sheet2"/>
    </sheetNames>
    <sheetDataSet>
      <sheetData sheetId="0">
        <row r="1">
          <cell r="A1" t="str">
            <v>name</v>
          </cell>
          <cell r="B1" t="str">
            <v>ID</v>
          </cell>
          <cell r="C1" t="str">
            <v>start_day</v>
          </cell>
          <cell r="D1" t="str">
            <v>start_time</v>
          </cell>
          <cell r="E1" t="str">
            <v>end_day</v>
          </cell>
          <cell r="F1" t="str">
            <v>end_time</v>
          </cell>
          <cell r="G1" t="str">
            <v>car1</v>
          </cell>
          <cell r="H1" t="str">
            <v>car2</v>
          </cell>
          <cell r="I1" t="str">
            <v>car3</v>
          </cell>
          <cell r="J1" t="str">
            <v>moto1</v>
          </cell>
          <cell r="K1" t="str">
            <v>moto2</v>
          </cell>
          <cell r="L1" t="str">
            <v>moto3</v>
          </cell>
          <cell r="M1" t="str">
            <v>bus1</v>
          </cell>
          <cell r="N1" t="str">
            <v>bus2</v>
          </cell>
          <cell r="O1" t="str">
            <v>bus3</v>
          </cell>
          <cell r="P1" t="str">
            <v>rv1</v>
          </cell>
          <cell r="Q1" t="str">
            <v>rv2</v>
          </cell>
          <cell r="R1" t="str">
            <v>rv3</v>
          </cell>
          <cell r="S1" t="str">
            <v>truck1</v>
          </cell>
          <cell r="T1" t="str">
            <v>truck2</v>
          </cell>
          <cell r="U1" t="str">
            <v>taxi1</v>
          </cell>
          <cell r="V1" t="str">
            <v>taxi2</v>
          </cell>
          <cell r="W1" t="str">
            <v>taxi3</v>
          </cell>
        </row>
        <row r="2">
          <cell r="A2" t="str">
            <v>Warrendale</v>
          </cell>
          <cell r="B2">
            <v>20000</v>
          </cell>
          <cell r="C2" t="str">
            <v>Monday</v>
          </cell>
          <cell r="D2">
            <v>0</v>
          </cell>
          <cell r="E2" t="str">
            <v>Sunday</v>
          </cell>
          <cell r="F2">
            <v>0.99998842592592596</v>
          </cell>
          <cell r="G2">
            <v>51.8</v>
          </cell>
          <cell r="H2">
            <v>77.2</v>
          </cell>
          <cell r="I2">
            <v>93.1</v>
          </cell>
          <cell r="J2">
            <v>0</v>
          </cell>
          <cell r="K2">
            <v>0</v>
          </cell>
          <cell r="L2">
            <v>0</v>
          </cell>
          <cell r="M2">
            <v>104.5</v>
          </cell>
          <cell r="N2">
            <v>156.4</v>
          </cell>
          <cell r="O2">
            <v>188.1</v>
          </cell>
          <cell r="P2">
            <v>51.8</v>
          </cell>
          <cell r="Q2">
            <v>77.2</v>
          </cell>
          <cell r="R2">
            <v>93.1</v>
          </cell>
          <cell r="S2">
            <v>156.4</v>
          </cell>
          <cell r="T2">
            <v>188.1</v>
          </cell>
          <cell r="U2">
            <v>77.2</v>
          </cell>
          <cell r="V2">
            <v>93.1</v>
          </cell>
          <cell r="W2">
            <v>93.1</v>
          </cell>
        </row>
        <row r="3">
          <cell r="A3" t="str">
            <v>Butler Valley</v>
          </cell>
          <cell r="B3">
            <v>20002</v>
          </cell>
          <cell r="C3" t="str">
            <v>Monday</v>
          </cell>
          <cell r="D3">
            <v>0</v>
          </cell>
          <cell r="E3" t="str">
            <v>Sunday</v>
          </cell>
          <cell r="F3">
            <v>0.99998842592592596</v>
          </cell>
          <cell r="G3">
            <v>50.6</v>
          </cell>
          <cell r="H3">
            <v>75</v>
          </cell>
          <cell r="I3">
            <v>93.1</v>
          </cell>
          <cell r="J3">
            <v>0</v>
          </cell>
          <cell r="K3">
            <v>0</v>
          </cell>
          <cell r="L3">
            <v>0</v>
          </cell>
          <cell r="M3">
            <v>102.6</v>
          </cell>
          <cell r="N3">
            <v>151.5</v>
          </cell>
          <cell r="O3">
            <v>188.1</v>
          </cell>
          <cell r="P3">
            <v>50.6</v>
          </cell>
          <cell r="Q3">
            <v>75</v>
          </cell>
          <cell r="R3">
            <v>93.1</v>
          </cell>
          <cell r="S3">
            <v>151.5</v>
          </cell>
          <cell r="T3">
            <v>188.1</v>
          </cell>
          <cell r="U3">
            <v>75</v>
          </cell>
          <cell r="V3">
            <v>93.1</v>
          </cell>
          <cell r="W3">
            <v>93.1</v>
          </cell>
        </row>
        <row r="4">
          <cell r="A4" t="str">
            <v>Allegheny Valley</v>
          </cell>
          <cell r="B4">
            <v>20004</v>
          </cell>
          <cell r="C4" t="str">
            <v>Monday</v>
          </cell>
          <cell r="D4">
            <v>0</v>
          </cell>
          <cell r="E4" t="str">
            <v>Sunday</v>
          </cell>
          <cell r="F4">
            <v>0.99998842592592596</v>
          </cell>
          <cell r="G4">
            <v>49.1</v>
          </cell>
          <cell r="H4">
            <v>72.8</v>
          </cell>
          <cell r="I4">
            <v>90.9</v>
          </cell>
          <cell r="J4">
            <v>-1</v>
          </cell>
          <cell r="K4">
            <v>-1</v>
          </cell>
          <cell r="L4">
            <v>-1</v>
          </cell>
          <cell r="M4">
            <v>99.5</v>
          </cell>
          <cell r="N4">
            <v>146.80000000000001</v>
          </cell>
          <cell r="O4">
            <v>183.5</v>
          </cell>
          <cell r="P4">
            <v>49.1</v>
          </cell>
          <cell r="Q4">
            <v>72.8</v>
          </cell>
          <cell r="R4">
            <v>90.9</v>
          </cell>
          <cell r="S4">
            <v>146.80000000000001</v>
          </cell>
          <cell r="T4">
            <v>183.5</v>
          </cell>
          <cell r="U4">
            <v>72.8</v>
          </cell>
          <cell r="V4">
            <v>90.9</v>
          </cell>
          <cell r="W4">
            <v>90.9</v>
          </cell>
        </row>
        <row r="5">
          <cell r="A5" t="str">
            <v>Pittsburgh</v>
          </cell>
          <cell r="B5">
            <v>20006</v>
          </cell>
          <cell r="C5" t="str">
            <v>Monday</v>
          </cell>
          <cell r="D5">
            <v>0</v>
          </cell>
          <cell r="E5" t="str">
            <v>Sunday</v>
          </cell>
          <cell r="F5">
            <v>0.99998842592592596</v>
          </cell>
          <cell r="G5">
            <v>48.3</v>
          </cell>
          <cell r="H5">
            <v>72</v>
          </cell>
          <cell r="I5">
            <v>89</v>
          </cell>
          <cell r="J5">
            <v>-1</v>
          </cell>
          <cell r="K5">
            <v>-1</v>
          </cell>
          <cell r="L5">
            <v>-1</v>
          </cell>
          <cell r="M5">
            <v>97.9</v>
          </cell>
          <cell r="N5">
            <v>145.5</v>
          </cell>
          <cell r="O5">
            <v>179.8</v>
          </cell>
          <cell r="P5">
            <v>48.3</v>
          </cell>
          <cell r="Q5">
            <v>72</v>
          </cell>
          <cell r="R5">
            <v>89</v>
          </cell>
          <cell r="S5">
            <v>145.5</v>
          </cell>
          <cell r="T5">
            <v>179.8</v>
          </cell>
          <cell r="U5">
            <v>72</v>
          </cell>
          <cell r="V5">
            <v>89</v>
          </cell>
          <cell r="W5">
            <v>89</v>
          </cell>
        </row>
        <row r="6">
          <cell r="A6" t="str">
            <v>Irwin</v>
          </cell>
          <cell r="B6">
            <v>20008</v>
          </cell>
          <cell r="C6" t="str">
            <v>Monday</v>
          </cell>
          <cell r="D6">
            <v>0</v>
          </cell>
          <cell r="E6" t="str">
            <v>Sunday</v>
          </cell>
          <cell r="F6">
            <v>0.99998842592592596</v>
          </cell>
          <cell r="G6">
            <v>47.3</v>
          </cell>
          <cell r="H6">
            <v>70.400000000000006</v>
          </cell>
          <cell r="I6">
            <v>86.4</v>
          </cell>
          <cell r="J6">
            <v>-1</v>
          </cell>
          <cell r="K6">
            <v>-1</v>
          </cell>
          <cell r="L6">
            <v>-1</v>
          </cell>
          <cell r="M6">
            <v>95.6</v>
          </cell>
          <cell r="N6">
            <v>142.5</v>
          </cell>
          <cell r="O6">
            <v>174.2</v>
          </cell>
          <cell r="P6">
            <v>47.3</v>
          </cell>
          <cell r="Q6">
            <v>70.400000000000006</v>
          </cell>
          <cell r="R6">
            <v>86.4</v>
          </cell>
          <cell r="S6">
            <v>142.5</v>
          </cell>
          <cell r="T6">
            <v>174.2</v>
          </cell>
          <cell r="U6">
            <v>70.400000000000006</v>
          </cell>
          <cell r="V6">
            <v>86.4</v>
          </cell>
          <cell r="W6">
            <v>86.4</v>
          </cell>
        </row>
        <row r="7">
          <cell r="A7" t="str">
            <v>New Stanton</v>
          </cell>
          <cell r="B7">
            <v>20010</v>
          </cell>
          <cell r="C7" t="str">
            <v>Monday</v>
          </cell>
          <cell r="D7">
            <v>0</v>
          </cell>
          <cell r="E7" t="str">
            <v>Sunday</v>
          </cell>
          <cell r="F7">
            <v>0.99998842592592596</v>
          </cell>
          <cell r="G7">
            <v>45</v>
          </cell>
          <cell r="H7">
            <v>65.900000000000006</v>
          </cell>
          <cell r="I7">
            <v>79.400000000000006</v>
          </cell>
          <cell r="J7">
            <v>-1</v>
          </cell>
          <cell r="K7">
            <v>-1</v>
          </cell>
          <cell r="L7">
            <v>-1</v>
          </cell>
          <cell r="M7">
            <v>90.9</v>
          </cell>
          <cell r="N7">
            <v>133.4</v>
          </cell>
          <cell r="O7">
            <v>160.9</v>
          </cell>
          <cell r="P7">
            <v>45</v>
          </cell>
          <cell r="Q7">
            <v>65.900000000000006</v>
          </cell>
          <cell r="R7">
            <v>79.400000000000006</v>
          </cell>
          <cell r="S7">
            <v>133.4</v>
          </cell>
          <cell r="T7">
            <v>160.9</v>
          </cell>
          <cell r="U7">
            <v>65.900000000000006</v>
          </cell>
          <cell r="V7">
            <v>79.400000000000006</v>
          </cell>
          <cell r="W7">
            <v>79.400000000000006</v>
          </cell>
        </row>
        <row r="8">
          <cell r="A8" t="str">
            <v>Donegal</v>
          </cell>
          <cell r="B8">
            <v>20012</v>
          </cell>
          <cell r="C8" t="str">
            <v>Monday</v>
          </cell>
          <cell r="D8">
            <v>0</v>
          </cell>
          <cell r="E8" t="str">
            <v>Sunday</v>
          </cell>
          <cell r="F8">
            <v>0.99998842592592596</v>
          </cell>
          <cell r="G8">
            <v>44.5</v>
          </cell>
          <cell r="H8">
            <v>65.900000000000006</v>
          </cell>
          <cell r="I8">
            <v>81.8</v>
          </cell>
          <cell r="J8">
            <v>-1</v>
          </cell>
          <cell r="K8">
            <v>-1</v>
          </cell>
          <cell r="L8">
            <v>-1</v>
          </cell>
          <cell r="M8">
            <v>89.9</v>
          </cell>
          <cell r="N8">
            <v>133.4</v>
          </cell>
          <cell r="O8">
            <v>165.3</v>
          </cell>
          <cell r="P8">
            <v>44.5</v>
          </cell>
          <cell r="Q8">
            <v>65.900000000000006</v>
          </cell>
          <cell r="R8">
            <v>81.8</v>
          </cell>
          <cell r="S8">
            <v>133.4</v>
          </cell>
          <cell r="T8">
            <v>165.3</v>
          </cell>
          <cell r="U8">
            <v>65.900000000000006</v>
          </cell>
          <cell r="V8">
            <v>81.8</v>
          </cell>
          <cell r="W8">
            <v>81.8</v>
          </cell>
        </row>
        <row r="9">
          <cell r="A9" t="str">
            <v>Somerset</v>
          </cell>
          <cell r="B9">
            <v>20014</v>
          </cell>
          <cell r="C9" t="str">
            <v>Monday</v>
          </cell>
          <cell r="D9">
            <v>0</v>
          </cell>
          <cell r="E9" t="str">
            <v>Sunday</v>
          </cell>
          <cell r="F9">
            <v>0.99998842592592596</v>
          </cell>
          <cell r="G9">
            <v>43.3</v>
          </cell>
          <cell r="H9">
            <v>63.6</v>
          </cell>
          <cell r="I9">
            <v>77.2</v>
          </cell>
          <cell r="J9">
            <v>-1</v>
          </cell>
          <cell r="K9">
            <v>-1</v>
          </cell>
          <cell r="L9">
            <v>-1</v>
          </cell>
          <cell r="M9">
            <v>87.6</v>
          </cell>
          <cell r="N9">
            <v>128.6</v>
          </cell>
          <cell r="O9">
            <v>156.4</v>
          </cell>
          <cell r="P9">
            <v>43.3</v>
          </cell>
          <cell r="Q9">
            <v>63.6</v>
          </cell>
          <cell r="R9">
            <v>77.2</v>
          </cell>
          <cell r="S9">
            <v>128.6</v>
          </cell>
          <cell r="T9">
            <v>156.4</v>
          </cell>
          <cell r="U9">
            <v>63.6</v>
          </cell>
          <cell r="V9">
            <v>77.2</v>
          </cell>
          <cell r="W9">
            <v>77.2</v>
          </cell>
        </row>
        <row r="10">
          <cell r="A10" t="str">
            <v>Bedford</v>
          </cell>
          <cell r="B10">
            <v>20016</v>
          </cell>
          <cell r="C10" t="str">
            <v>Monday</v>
          </cell>
          <cell r="D10">
            <v>0</v>
          </cell>
          <cell r="E10" t="str">
            <v>Sunday</v>
          </cell>
          <cell r="F10">
            <v>0.99998842592592596</v>
          </cell>
          <cell r="G10">
            <v>43.3</v>
          </cell>
          <cell r="H10">
            <v>63.6</v>
          </cell>
          <cell r="I10">
            <v>79.400000000000006</v>
          </cell>
          <cell r="J10">
            <v>-1</v>
          </cell>
          <cell r="K10">
            <v>-1</v>
          </cell>
          <cell r="L10">
            <v>-1</v>
          </cell>
          <cell r="M10">
            <v>87.6</v>
          </cell>
          <cell r="N10">
            <v>128.6</v>
          </cell>
          <cell r="O10">
            <v>160.9</v>
          </cell>
          <cell r="P10">
            <v>43.3</v>
          </cell>
          <cell r="Q10">
            <v>63.6</v>
          </cell>
          <cell r="R10">
            <v>79.400000000000006</v>
          </cell>
          <cell r="S10">
            <v>128.6</v>
          </cell>
          <cell r="T10">
            <v>160.9</v>
          </cell>
          <cell r="U10">
            <v>63.6</v>
          </cell>
          <cell r="V10">
            <v>79.400000000000006</v>
          </cell>
          <cell r="W10">
            <v>79.400000000000006</v>
          </cell>
        </row>
        <row r="11">
          <cell r="A11" t="str">
            <v>Breezewood</v>
          </cell>
          <cell r="B11">
            <v>20018</v>
          </cell>
          <cell r="C11" t="str">
            <v>Monday</v>
          </cell>
          <cell r="D11">
            <v>0</v>
          </cell>
          <cell r="E11" t="str">
            <v>Sunday</v>
          </cell>
          <cell r="F11">
            <v>0.99998842592592596</v>
          </cell>
          <cell r="G11">
            <v>42.3</v>
          </cell>
          <cell r="H11">
            <v>61.4</v>
          </cell>
          <cell r="I11">
            <v>75</v>
          </cell>
          <cell r="J11">
            <v>-1</v>
          </cell>
          <cell r="K11">
            <v>-1</v>
          </cell>
          <cell r="L11">
            <v>-1</v>
          </cell>
          <cell r="M11">
            <v>85.4</v>
          </cell>
          <cell r="N11">
            <v>124.4</v>
          </cell>
          <cell r="O11">
            <v>151.5</v>
          </cell>
          <cell r="P11">
            <v>42.3</v>
          </cell>
          <cell r="Q11">
            <v>61.4</v>
          </cell>
          <cell r="R11">
            <v>75</v>
          </cell>
          <cell r="S11">
            <v>124.4</v>
          </cell>
          <cell r="T11">
            <v>151.5</v>
          </cell>
          <cell r="U11">
            <v>61.4</v>
          </cell>
          <cell r="V11">
            <v>75</v>
          </cell>
          <cell r="W11">
            <v>75</v>
          </cell>
        </row>
        <row r="12">
          <cell r="A12" t="str">
            <v>Fort Littleton</v>
          </cell>
          <cell r="B12">
            <v>20020</v>
          </cell>
          <cell r="C12" t="str">
            <v>Monday</v>
          </cell>
          <cell r="D12">
            <v>0</v>
          </cell>
          <cell r="E12" t="str">
            <v>Sunday</v>
          </cell>
          <cell r="F12">
            <v>0.99998842592592596</v>
          </cell>
          <cell r="G12">
            <v>41.5</v>
          </cell>
          <cell r="H12">
            <v>61.4</v>
          </cell>
          <cell r="I12">
            <v>75</v>
          </cell>
          <cell r="J12">
            <v>-1</v>
          </cell>
          <cell r="K12">
            <v>-1</v>
          </cell>
          <cell r="L12">
            <v>-1</v>
          </cell>
          <cell r="M12">
            <v>84.6</v>
          </cell>
          <cell r="N12">
            <v>124.4</v>
          </cell>
          <cell r="O12">
            <v>151.5</v>
          </cell>
          <cell r="P12">
            <v>41.5</v>
          </cell>
          <cell r="Q12">
            <v>61.4</v>
          </cell>
          <cell r="R12">
            <v>75</v>
          </cell>
          <cell r="S12">
            <v>124.4</v>
          </cell>
          <cell r="T12">
            <v>151.5</v>
          </cell>
          <cell r="U12">
            <v>61.4</v>
          </cell>
          <cell r="V12">
            <v>75</v>
          </cell>
          <cell r="W12">
            <v>75</v>
          </cell>
        </row>
        <row r="13">
          <cell r="A13" t="str">
            <v>Willow Hill</v>
          </cell>
          <cell r="B13">
            <v>20022</v>
          </cell>
          <cell r="C13" t="str">
            <v>Monday</v>
          </cell>
          <cell r="D13">
            <v>0</v>
          </cell>
          <cell r="E13" t="str">
            <v>Sunday</v>
          </cell>
          <cell r="F13">
            <v>0.99998842592592596</v>
          </cell>
          <cell r="G13">
            <v>41.3</v>
          </cell>
          <cell r="H13">
            <v>61.4</v>
          </cell>
          <cell r="I13">
            <v>75</v>
          </cell>
          <cell r="J13">
            <v>-1</v>
          </cell>
          <cell r="K13">
            <v>-1</v>
          </cell>
          <cell r="L13">
            <v>-1</v>
          </cell>
          <cell r="M13">
            <v>83.5</v>
          </cell>
          <cell r="N13">
            <v>124.4</v>
          </cell>
          <cell r="O13">
            <v>151.5</v>
          </cell>
          <cell r="P13">
            <v>41.3</v>
          </cell>
          <cell r="Q13">
            <v>61.4</v>
          </cell>
          <cell r="R13">
            <v>75</v>
          </cell>
          <cell r="S13">
            <v>124.4</v>
          </cell>
          <cell r="T13">
            <v>151.5</v>
          </cell>
          <cell r="U13">
            <v>61.4</v>
          </cell>
          <cell r="V13">
            <v>75</v>
          </cell>
          <cell r="W13">
            <v>75</v>
          </cell>
        </row>
        <row r="14">
          <cell r="A14" t="str">
            <v>Blue Mountain</v>
          </cell>
          <cell r="B14">
            <v>20024</v>
          </cell>
          <cell r="C14" t="str">
            <v>Monday</v>
          </cell>
          <cell r="D14">
            <v>0</v>
          </cell>
          <cell r="E14" t="str">
            <v>Sunday</v>
          </cell>
          <cell r="F14">
            <v>0.99998842592592596</v>
          </cell>
          <cell r="G14">
            <v>40.1</v>
          </cell>
          <cell r="H14">
            <v>59.2</v>
          </cell>
          <cell r="I14">
            <v>72.8</v>
          </cell>
          <cell r="J14">
            <v>-1</v>
          </cell>
          <cell r="K14">
            <v>-1</v>
          </cell>
          <cell r="L14">
            <v>-1</v>
          </cell>
          <cell r="M14">
            <v>80.8</v>
          </cell>
          <cell r="N14">
            <v>119.4</v>
          </cell>
          <cell r="O14">
            <v>146.80000000000001</v>
          </cell>
          <cell r="P14">
            <v>40.1</v>
          </cell>
          <cell r="Q14">
            <v>59.2</v>
          </cell>
          <cell r="R14">
            <v>72.8</v>
          </cell>
          <cell r="S14">
            <v>119.4</v>
          </cell>
          <cell r="T14">
            <v>146.80000000000001</v>
          </cell>
          <cell r="U14">
            <v>59.2</v>
          </cell>
          <cell r="V14">
            <v>72.8</v>
          </cell>
          <cell r="W14">
            <v>72.8</v>
          </cell>
        </row>
        <row r="15">
          <cell r="A15" t="str">
            <v>Carlisle</v>
          </cell>
          <cell r="B15">
            <v>20026</v>
          </cell>
          <cell r="C15" t="str">
            <v>Monday</v>
          </cell>
          <cell r="D15">
            <v>0</v>
          </cell>
          <cell r="E15" t="str">
            <v>Sunday</v>
          </cell>
          <cell r="F15">
            <v>0.99998842592592596</v>
          </cell>
          <cell r="G15">
            <v>38.700000000000003</v>
          </cell>
          <cell r="H15">
            <v>59.2</v>
          </cell>
          <cell r="I15">
            <v>70.400000000000006</v>
          </cell>
          <cell r="J15">
            <v>-1</v>
          </cell>
          <cell r="K15">
            <v>-1</v>
          </cell>
          <cell r="L15">
            <v>-1</v>
          </cell>
          <cell r="M15">
            <v>78.599999999999994</v>
          </cell>
          <cell r="N15">
            <v>119.4</v>
          </cell>
          <cell r="O15">
            <v>142.5</v>
          </cell>
          <cell r="P15">
            <v>38.700000000000003</v>
          </cell>
          <cell r="Q15">
            <v>59.2</v>
          </cell>
          <cell r="R15">
            <v>70.400000000000006</v>
          </cell>
          <cell r="S15">
            <v>119.4</v>
          </cell>
          <cell r="T15">
            <v>142.5</v>
          </cell>
          <cell r="U15">
            <v>59.2</v>
          </cell>
          <cell r="V15">
            <v>70.400000000000006</v>
          </cell>
          <cell r="W15">
            <v>70.400000000000006</v>
          </cell>
        </row>
        <row r="16">
          <cell r="A16" t="str">
            <v>Gettysburg Pike</v>
          </cell>
          <cell r="B16">
            <v>20028</v>
          </cell>
          <cell r="C16" t="str">
            <v>Monday</v>
          </cell>
          <cell r="D16">
            <v>0</v>
          </cell>
          <cell r="E16" t="str">
            <v>Sunday</v>
          </cell>
          <cell r="F16">
            <v>0.99998842592592596</v>
          </cell>
          <cell r="G16">
            <v>38</v>
          </cell>
          <cell r="H16">
            <v>57.2</v>
          </cell>
          <cell r="I16">
            <v>68.7</v>
          </cell>
          <cell r="J16">
            <v>-1</v>
          </cell>
          <cell r="K16">
            <v>-1</v>
          </cell>
          <cell r="L16">
            <v>-1</v>
          </cell>
          <cell r="M16">
            <v>76.599999999999994</v>
          </cell>
          <cell r="N16">
            <v>115.5</v>
          </cell>
          <cell r="O16">
            <v>138.80000000000001</v>
          </cell>
          <cell r="P16">
            <v>38</v>
          </cell>
          <cell r="Q16">
            <v>57.2</v>
          </cell>
          <cell r="R16">
            <v>68.7</v>
          </cell>
          <cell r="S16">
            <v>115.5</v>
          </cell>
          <cell r="T16">
            <v>138.80000000000001</v>
          </cell>
          <cell r="U16">
            <v>57.2</v>
          </cell>
          <cell r="V16">
            <v>68.7</v>
          </cell>
          <cell r="W16">
            <v>68.7</v>
          </cell>
        </row>
        <row r="17">
          <cell r="A17" t="str">
            <v>Harrisburg West</v>
          </cell>
          <cell r="B17">
            <v>20030</v>
          </cell>
          <cell r="C17" t="str">
            <v>Monday</v>
          </cell>
          <cell r="D17">
            <v>0</v>
          </cell>
          <cell r="E17" t="str">
            <v>Sunday</v>
          </cell>
          <cell r="F17">
            <v>0.99998842592592596</v>
          </cell>
          <cell r="G17">
            <v>36.5</v>
          </cell>
          <cell r="H17">
            <v>54.6</v>
          </cell>
          <cell r="I17">
            <v>65.900000000000006</v>
          </cell>
          <cell r="J17">
            <v>-1</v>
          </cell>
          <cell r="K17">
            <v>-1</v>
          </cell>
          <cell r="L17">
            <v>-1</v>
          </cell>
          <cell r="M17">
            <v>73.900000000000006</v>
          </cell>
          <cell r="N17">
            <v>110.3</v>
          </cell>
          <cell r="O17">
            <v>133.4</v>
          </cell>
          <cell r="P17">
            <v>36.5</v>
          </cell>
          <cell r="Q17">
            <v>54.6</v>
          </cell>
          <cell r="R17">
            <v>65.900000000000006</v>
          </cell>
          <cell r="S17">
            <v>110.3</v>
          </cell>
          <cell r="T17">
            <v>133.4</v>
          </cell>
          <cell r="U17">
            <v>54.6</v>
          </cell>
          <cell r="V17">
            <v>65.900000000000006</v>
          </cell>
          <cell r="W17">
            <v>65.900000000000006</v>
          </cell>
        </row>
        <row r="18">
          <cell r="A18" t="str">
            <v>Harrisburg East</v>
          </cell>
          <cell r="B18">
            <v>20032</v>
          </cell>
          <cell r="C18" t="str">
            <v>Monday</v>
          </cell>
          <cell r="D18">
            <v>0</v>
          </cell>
          <cell r="E18" t="str">
            <v>Sunday</v>
          </cell>
          <cell r="F18">
            <v>0.99998842592592596</v>
          </cell>
          <cell r="G18">
            <v>34.700000000000003</v>
          </cell>
          <cell r="H18">
            <v>52.3</v>
          </cell>
          <cell r="I18">
            <v>63.6</v>
          </cell>
          <cell r="J18">
            <v>-1</v>
          </cell>
          <cell r="K18">
            <v>-1</v>
          </cell>
          <cell r="L18">
            <v>-1</v>
          </cell>
          <cell r="M18">
            <v>70.8</v>
          </cell>
          <cell r="N18">
            <v>106.1</v>
          </cell>
          <cell r="O18">
            <v>128.6</v>
          </cell>
          <cell r="P18">
            <v>34.700000000000003</v>
          </cell>
          <cell r="Q18">
            <v>52.3</v>
          </cell>
          <cell r="R18">
            <v>63.6</v>
          </cell>
          <cell r="S18">
            <v>106.1</v>
          </cell>
          <cell r="T18">
            <v>128.6</v>
          </cell>
          <cell r="U18">
            <v>52.3</v>
          </cell>
          <cell r="V18">
            <v>63.6</v>
          </cell>
          <cell r="W18">
            <v>63.6</v>
          </cell>
        </row>
        <row r="19">
          <cell r="A19" t="str">
            <v>Lebanon-Lancaster</v>
          </cell>
          <cell r="B19">
            <v>20034</v>
          </cell>
          <cell r="C19" t="str">
            <v>Monday</v>
          </cell>
          <cell r="D19">
            <v>0</v>
          </cell>
          <cell r="E19" t="str">
            <v>Sunday</v>
          </cell>
          <cell r="F19">
            <v>0.99998842592592596</v>
          </cell>
          <cell r="G19">
            <v>33.799999999999997</v>
          </cell>
          <cell r="H19">
            <v>50.1</v>
          </cell>
          <cell r="I19">
            <v>61.4</v>
          </cell>
          <cell r="J19">
            <v>-1</v>
          </cell>
          <cell r="K19">
            <v>-1</v>
          </cell>
          <cell r="L19">
            <v>-1</v>
          </cell>
          <cell r="M19">
            <v>67.900000000000006</v>
          </cell>
          <cell r="N19">
            <v>101.3</v>
          </cell>
          <cell r="O19">
            <v>124.4</v>
          </cell>
          <cell r="P19">
            <v>33.799999999999997</v>
          </cell>
          <cell r="Q19">
            <v>50.1</v>
          </cell>
          <cell r="R19">
            <v>61.4</v>
          </cell>
          <cell r="S19">
            <v>101.3</v>
          </cell>
          <cell r="T19">
            <v>124.4</v>
          </cell>
          <cell r="U19">
            <v>50.1</v>
          </cell>
          <cell r="V19">
            <v>61.4</v>
          </cell>
          <cell r="W19">
            <v>61.4</v>
          </cell>
        </row>
        <row r="20">
          <cell r="A20" t="str">
            <v>Reading</v>
          </cell>
          <cell r="B20">
            <v>20036</v>
          </cell>
          <cell r="C20" t="str">
            <v>Monday</v>
          </cell>
          <cell r="D20">
            <v>0</v>
          </cell>
          <cell r="E20" t="str">
            <v>Sunday</v>
          </cell>
          <cell r="F20">
            <v>0.99998842592592596</v>
          </cell>
          <cell r="G20">
            <v>30.7</v>
          </cell>
          <cell r="H20">
            <v>45.5</v>
          </cell>
          <cell r="I20">
            <v>57</v>
          </cell>
          <cell r="J20">
            <v>-1</v>
          </cell>
          <cell r="K20">
            <v>-1</v>
          </cell>
          <cell r="L20">
            <v>-1</v>
          </cell>
          <cell r="M20">
            <v>62.5</v>
          </cell>
          <cell r="N20">
            <v>92.1</v>
          </cell>
          <cell r="O20">
            <v>115.1</v>
          </cell>
          <cell r="P20">
            <v>30.7</v>
          </cell>
          <cell r="Q20">
            <v>45.5</v>
          </cell>
          <cell r="R20">
            <v>57</v>
          </cell>
          <cell r="S20">
            <v>92.1</v>
          </cell>
          <cell r="T20">
            <v>115.1</v>
          </cell>
          <cell r="U20">
            <v>45.5</v>
          </cell>
          <cell r="V20">
            <v>57</v>
          </cell>
          <cell r="W20">
            <v>57</v>
          </cell>
        </row>
        <row r="21">
          <cell r="A21" t="str">
            <v>Morgantown</v>
          </cell>
          <cell r="B21">
            <v>20038</v>
          </cell>
          <cell r="C21" t="str">
            <v>Monday</v>
          </cell>
          <cell r="D21">
            <v>0</v>
          </cell>
          <cell r="E21" t="str">
            <v>Sunday</v>
          </cell>
          <cell r="F21">
            <v>0.99998842592592596</v>
          </cell>
          <cell r="G21">
            <v>29.1</v>
          </cell>
          <cell r="H21">
            <v>43.3</v>
          </cell>
          <cell r="I21">
            <v>53.7</v>
          </cell>
          <cell r="J21">
            <v>-1</v>
          </cell>
          <cell r="K21">
            <v>-1</v>
          </cell>
          <cell r="L21">
            <v>-1</v>
          </cell>
          <cell r="M21">
            <v>59</v>
          </cell>
          <cell r="N21">
            <v>87.6</v>
          </cell>
          <cell r="O21">
            <v>108.8</v>
          </cell>
          <cell r="P21">
            <v>29.1</v>
          </cell>
          <cell r="Q21">
            <v>43.3</v>
          </cell>
          <cell r="R21">
            <v>53.7</v>
          </cell>
          <cell r="S21">
            <v>87.6</v>
          </cell>
          <cell r="T21">
            <v>108.8</v>
          </cell>
          <cell r="U21">
            <v>43.3</v>
          </cell>
          <cell r="V21">
            <v>53.7</v>
          </cell>
          <cell r="W21">
            <v>53.7</v>
          </cell>
        </row>
        <row r="22">
          <cell r="A22" t="str">
            <v>Downingtown</v>
          </cell>
          <cell r="B22">
            <v>20040</v>
          </cell>
          <cell r="C22" t="str">
            <v>Monday</v>
          </cell>
          <cell r="D22">
            <v>0</v>
          </cell>
          <cell r="E22" t="str">
            <v>Sunday</v>
          </cell>
          <cell r="F22">
            <v>0.99998842592592596</v>
          </cell>
          <cell r="G22">
            <v>28.5</v>
          </cell>
          <cell r="H22">
            <v>42.3</v>
          </cell>
          <cell r="I22">
            <v>52.3</v>
          </cell>
          <cell r="J22">
            <v>-1</v>
          </cell>
          <cell r="K22">
            <v>-1</v>
          </cell>
          <cell r="L22">
            <v>-1</v>
          </cell>
          <cell r="M22">
            <v>58.3</v>
          </cell>
          <cell r="N22">
            <v>85.4</v>
          </cell>
          <cell r="O22">
            <v>106.1</v>
          </cell>
          <cell r="P22">
            <v>28.5</v>
          </cell>
          <cell r="Q22">
            <v>42.3</v>
          </cell>
          <cell r="R22">
            <v>52.3</v>
          </cell>
          <cell r="S22">
            <v>85.4</v>
          </cell>
          <cell r="T22">
            <v>106.1</v>
          </cell>
          <cell r="U22">
            <v>42.3</v>
          </cell>
          <cell r="V22">
            <v>52.3</v>
          </cell>
          <cell r="W22">
            <v>52.3</v>
          </cell>
        </row>
        <row r="23">
          <cell r="A23" t="str">
            <v>S.R. 29</v>
          </cell>
          <cell r="B23">
            <v>20042</v>
          </cell>
          <cell r="C23" t="str">
            <v>Monday</v>
          </cell>
          <cell r="D23">
            <v>0</v>
          </cell>
          <cell r="E23" t="str">
            <v>Sunday</v>
          </cell>
          <cell r="F23">
            <v>0.99998842592592596</v>
          </cell>
          <cell r="G23">
            <v>28</v>
          </cell>
          <cell r="H23">
            <v>41</v>
          </cell>
          <cell r="I23">
            <v>50.1</v>
          </cell>
          <cell r="J23">
            <v>-1</v>
          </cell>
          <cell r="K23">
            <v>-1</v>
          </cell>
          <cell r="L23">
            <v>-1</v>
          </cell>
          <cell r="M23">
            <v>56.7</v>
          </cell>
          <cell r="N23">
            <v>83.2</v>
          </cell>
          <cell r="O23">
            <v>101.3</v>
          </cell>
          <cell r="P23">
            <v>28</v>
          </cell>
          <cell r="Q23">
            <v>41</v>
          </cell>
          <cell r="R23">
            <v>50.1</v>
          </cell>
          <cell r="S23">
            <v>83.2</v>
          </cell>
          <cell r="T23">
            <v>101.3</v>
          </cell>
          <cell r="U23">
            <v>41</v>
          </cell>
          <cell r="V23">
            <v>50.1</v>
          </cell>
          <cell r="W23">
            <v>50.1</v>
          </cell>
        </row>
        <row r="24">
          <cell r="A24" t="str">
            <v>Valley Forge</v>
          </cell>
          <cell r="B24">
            <v>20044</v>
          </cell>
          <cell r="C24" t="str">
            <v>Monday</v>
          </cell>
          <cell r="D24">
            <v>0</v>
          </cell>
          <cell r="E24" t="str">
            <v>Sunday</v>
          </cell>
          <cell r="F24">
            <v>0.99998842592592596</v>
          </cell>
          <cell r="G24">
            <v>26.8</v>
          </cell>
          <cell r="H24">
            <v>39.299999999999997</v>
          </cell>
          <cell r="I24">
            <v>47.9</v>
          </cell>
          <cell r="J24">
            <v>-1</v>
          </cell>
          <cell r="K24">
            <v>-1</v>
          </cell>
          <cell r="L24">
            <v>-1</v>
          </cell>
          <cell r="M24">
            <v>54.6</v>
          </cell>
          <cell r="N24">
            <v>79.599999999999994</v>
          </cell>
          <cell r="O24">
            <v>96.8</v>
          </cell>
          <cell r="P24">
            <v>26.8</v>
          </cell>
          <cell r="Q24">
            <v>39.299999999999997</v>
          </cell>
          <cell r="R24">
            <v>47.9</v>
          </cell>
          <cell r="S24">
            <v>79.599999999999994</v>
          </cell>
          <cell r="T24">
            <v>96.8</v>
          </cell>
          <cell r="U24">
            <v>39.299999999999997</v>
          </cell>
          <cell r="V24">
            <v>47.9</v>
          </cell>
          <cell r="W24">
            <v>47.9</v>
          </cell>
        </row>
        <row r="25">
          <cell r="A25" t="str">
            <v>Norristown</v>
          </cell>
          <cell r="B25">
            <v>20046</v>
          </cell>
          <cell r="C25" t="str">
            <v>Monday</v>
          </cell>
          <cell r="D25">
            <v>0</v>
          </cell>
          <cell r="E25" t="str">
            <v>Sunday</v>
          </cell>
          <cell r="F25">
            <v>0.99998842592592596</v>
          </cell>
          <cell r="G25">
            <v>23.5</v>
          </cell>
          <cell r="H25">
            <v>34.700000000000003</v>
          </cell>
          <cell r="I25">
            <v>42.7</v>
          </cell>
          <cell r="J25">
            <v>-1</v>
          </cell>
          <cell r="K25">
            <v>-1</v>
          </cell>
          <cell r="L25">
            <v>-1</v>
          </cell>
          <cell r="M25">
            <v>47.7</v>
          </cell>
          <cell r="N25">
            <v>70.8</v>
          </cell>
          <cell r="O25">
            <v>86.6</v>
          </cell>
          <cell r="P25">
            <v>23.5</v>
          </cell>
          <cell r="Q25">
            <v>34.700000000000003</v>
          </cell>
          <cell r="R25">
            <v>42.7</v>
          </cell>
          <cell r="S25">
            <v>70.8</v>
          </cell>
          <cell r="T25">
            <v>86.6</v>
          </cell>
          <cell r="U25">
            <v>34.700000000000003</v>
          </cell>
          <cell r="V25">
            <v>42.7</v>
          </cell>
          <cell r="W25">
            <v>42.7</v>
          </cell>
        </row>
        <row r="26">
          <cell r="A26" t="str">
            <v>Fort Washington</v>
          </cell>
          <cell r="B26">
            <v>20048</v>
          </cell>
          <cell r="C26" t="str">
            <v>Monday</v>
          </cell>
          <cell r="D26">
            <v>0</v>
          </cell>
          <cell r="E26" t="str">
            <v>Sunday</v>
          </cell>
          <cell r="F26">
            <v>0.99998842592592596</v>
          </cell>
          <cell r="G26">
            <v>21.9</v>
          </cell>
          <cell r="H26">
            <v>32.1</v>
          </cell>
          <cell r="I26">
            <v>40.1</v>
          </cell>
          <cell r="J26">
            <v>-1</v>
          </cell>
          <cell r="K26">
            <v>-1</v>
          </cell>
          <cell r="L26">
            <v>-1</v>
          </cell>
          <cell r="M26">
            <v>42.3</v>
          </cell>
          <cell r="N26">
            <v>61.5</v>
          </cell>
          <cell r="O26">
            <v>76.599999999999994</v>
          </cell>
          <cell r="P26">
            <v>21.9</v>
          </cell>
          <cell r="Q26">
            <v>32.1</v>
          </cell>
          <cell r="R26">
            <v>40.1</v>
          </cell>
          <cell r="S26">
            <v>61.5</v>
          </cell>
          <cell r="T26">
            <v>76.599999999999994</v>
          </cell>
          <cell r="U26">
            <v>32.1</v>
          </cell>
          <cell r="V26">
            <v>40.1</v>
          </cell>
          <cell r="W26">
            <v>40.1</v>
          </cell>
        </row>
        <row r="27">
          <cell r="A27" t="str">
            <v xml:space="preserve">Virginia Drive </v>
          </cell>
          <cell r="B27">
            <v>20050</v>
          </cell>
          <cell r="C27" t="str">
            <v>Monday</v>
          </cell>
          <cell r="D27">
            <v>0</v>
          </cell>
          <cell r="E27" t="str">
            <v>Sunday</v>
          </cell>
          <cell r="F27">
            <v>0.99998842592592596</v>
          </cell>
          <cell r="G27">
            <v>18.399999999999999</v>
          </cell>
          <cell r="H27">
            <v>27.5</v>
          </cell>
          <cell r="I27">
            <v>33.799999999999997</v>
          </cell>
          <cell r="J27">
            <v>-1</v>
          </cell>
          <cell r="K27">
            <v>-1</v>
          </cell>
          <cell r="L27">
            <v>-1</v>
          </cell>
          <cell r="M27">
            <v>37.200000000000003</v>
          </cell>
          <cell r="N27">
            <v>55.6</v>
          </cell>
          <cell r="O27">
            <v>67.900000000000006</v>
          </cell>
          <cell r="P27">
            <v>18.399999999999999</v>
          </cell>
          <cell r="Q27">
            <v>27.5</v>
          </cell>
          <cell r="R27">
            <v>33.799999999999997</v>
          </cell>
          <cell r="S27">
            <v>55.6</v>
          </cell>
          <cell r="T27">
            <v>67.900000000000006</v>
          </cell>
          <cell r="U27">
            <v>27.5</v>
          </cell>
          <cell r="V27">
            <v>33.799999999999997</v>
          </cell>
          <cell r="W27">
            <v>33.799999999999997</v>
          </cell>
        </row>
        <row r="28">
          <cell r="A28" t="str">
            <v>Willow Grove</v>
          </cell>
          <cell r="B28">
            <v>20052</v>
          </cell>
          <cell r="C28" t="str">
            <v>Monday</v>
          </cell>
          <cell r="D28">
            <v>0</v>
          </cell>
          <cell r="E28" t="str">
            <v>Sunday</v>
          </cell>
          <cell r="F28">
            <v>0.99998842592592596</v>
          </cell>
          <cell r="G28">
            <v>16.100000000000001</v>
          </cell>
          <cell r="H28">
            <v>24.1</v>
          </cell>
          <cell r="I28">
            <v>29.1</v>
          </cell>
          <cell r="J28">
            <v>-1</v>
          </cell>
          <cell r="K28">
            <v>-1</v>
          </cell>
          <cell r="L28">
            <v>-1</v>
          </cell>
          <cell r="M28">
            <v>32.799999999999997</v>
          </cell>
          <cell r="N28">
            <v>49</v>
          </cell>
          <cell r="O28">
            <v>59</v>
          </cell>
          <cell r="P28">
            <v>16.100000000000001</v>
          </cell>
          <cell r="Q28">
            <v>24.1</v>
          </cell>
          <cell r="R28">
            <v>29.1</v>
          </cell>
          <cell r="S28">
            <v>49</v>
          </cell>
          <cell r="T28">
            <v>59</v>
          </cell>
          <cell r="U28">
            <v>24.1</v>
          </cell>
          <cell r="V28">
            <v>29.1</v>
          </cell>
          <cell r="W28">
            <v>29.1</v>
          </cell>
        </row>
        <row r="29">
          <cell r="A29" t="str">
            <v>Bensalem</v>
          </cell>
          <cell r="B29">
            <v>20054</v>
          </cell>
          <cell r="C29" t="str">
            <v>Monday</v>
          </cell>
          <cell r="D29">
            <v>0</v>
          </cell>
          <cell r="E29" t="str">
            <v>Sunday</v>
          </cell>
          <cell r="F29">
            <v>0.99998842592592596</v>
          </cell>
          <cell r="G29">
            <v>11.6</v>
          </cell>
          <cell r="H29">
            <v>17.3</v>
          </cell>
          <cell r="I29">
            <v>21.3</v>
          </cell>
          <cell r="J29">
            <v>-1</v>
          </cell>
          <cell r="K29">
            <v>-1</v>
          </cell>
          <cell r="L29">
            <v>-1</v>
          </cell>
          <cell r="M29">
            <v>23.6</v>
          </cell>
          <cell r="N29">
            <v>35.200000000000003</v>
          </cell>
          <cell r="O29">
            <v>43</v>
          </cell>
          <cell r="P29">
            <v>11.6</v>
          </cell>
          <cell r="Q29">
            <v>17.3</v>
          </cell>
          <cell r="R29">
            <v>21.3</v>
          </cell>
          <cell r="S29">
            <v>35.200000000000003</v>
          </cell>
          <cell r="T29">
            <v>43</v>
          </cell>
          <cell r="U29">
            <v>17.3</v>
          </cell>
          <cell r="V29">
            <v>21.3</v>
          </cell>
          <cell r="W29">
            <v>21.3</v>
          </cell>
        </row>
        <row r="30">
          <cell r="A30" t="str">
            <v xml:space="preserve">St. Rd </v>
          </cell>
          <cell r="B30">
            <v>20058</v>
          </cell>
          <cell r="C30" t="str">
            <v>Monday</v>
          </cell>
          <cell r="D30">
            <v>0</v>
          </cell>
          <cell r="E30" t="str">
            <v>Sunday</v>
          </cell>
          <cell r="F30">
            <v>0.99998842592592596</v>
          </cell>
          <cell r="G30">
            <v>9.4</v>
          </cell>
          <cell r="H30">
            <v>13.8</v>
          </cell>
          <cell r="I30">
            <v>16.100000000000001</v>
          </cell>
          <cell r="J30">
            <v>-1</v>
          </cell>
          <cell r="K30">
            <v>-1</v>
          </cell>
          <cell r="L30">
            <v>-1</v>
          </cell>
          <cell r="M30">
            <v>19.2</v>
          </cell>
          <cell r="N30">
            <v>28.3</v>
          </cell>
          <cell r="O30">
            <v>32.799999999999997</v>
          </cell>
          <cell r="P30">
            <v>9.4</v>
          </cell>
          <cell r="Q30">
            <v>13.8</v>
          </cell>
          <cell r="R30">
            <v>16.100000000000001</v>
          </cell>
          <cell r="S30">
            <v>28.3</v>
          </cell>
          <cell r="T30">
            <v>32.799999999999997</v>
          </cell>
          <cell r="U30">
            <v>13.8</v>
          </cell>
          <cell r="V30">
            <v>16.100000000000001</v>
          </cell>
          <cell r="W30">
            <v>16.100000000000001</v>
          </cell>
        </row>
        <row r="31">
          <cell r="A31" t="str">
            <v>Neshaminy Falls</v>
          </cell>
          <cell r="B31">
            <v>20060</v>
          </cell>
          <cell r="C31" t="str">
            <v>Monday</v>
          </cell>
          <cell r="D31">
            <v>0</v>
          </cell>
          <cell r="E31" t="str">
            <v>Sunday</v>
          </cell>
          <cell r="F31">
            <v>0.99998842592592596</v>
          </cell>
          <cell r="G31">
            <v>7.1</v>
          </cell>
          <cell r="H31">
            <v>10.4</v>
          </cell>
          <cell r="I31">
            <v>12.8</v>
          </cell>
          <cell r="J31">
            <v>-1</v>
          </cell>
          <cell r="K31">
            <v>-1</v>
          </cell>
          <cell r="L31">
            <v>-1</v>
          </cell>
          <cell r="M31">
            <v>14.4</v>
          </cell>
          <cell r="N31">
            <v>21.5</v>
          </cell>
          <cell r="O31">
            <v>26.1</v>
          </cell>
          <cell r="P31">
            <v>7.1</v>
          </cell>
          <cell r="Q31">
            <v>10.4</v>
          </cell>
          <cell r="R31">
            <v>12.8</v>
          </cell>
          <cell r="S31">
            <v>21.5</v>
          </cell>
          <cell r="T31">
            <v>26.1</v>
          </cell>
          <cell r="U31">
            <v>10.4</v>
          </cell>
          <cell r="V31">
            <v>12.8</v>
          </cell>
          <cell r="W31">
            <v>12.8</v>
          </cell>
        </row>
        <row r="32">
          <cell r="A32" t="str">
            <v>Mid-County</v>
          </cell>
          <cell r="B32">
            <v>21000</v>
          </cell>
          <cell r="C32" t="str">
            <v>Monday</v>
          </cell>
          <cell r="D32">
            <v>0</v>
          </cell>
          <cell r="E32" t="str">
            <v>Sunday</v>
          </cell>
          <cell r="F32">
            <v>0.99998842592592596</v>
          </cell>
          <cell r="G32">
            <v>6.6</v>
          </cell>
          <cell r="H32">
            <v>8.8000000000000007</v>
          </cell>
          <cell r="I32">
            <v>11</v>
          </cell>
          <cell r="J32">
            <v>-1</v>
          </cell>
          <cell r="K32">
            <v>-1</v>
          </cell>
          <cell r="L32">
            <v>-1</v>
          </cell>
          <cell r="M32">
            <v>13.3</v>
          </cell>
          <cell r="N32">
            <v>18</v>
          </cell>
          <cell r="O32">
            <v>22.5</v>
          </cell>
          <cell r="P32">
            <v>6.6</v>
          </cell>
          <cell r="Q32">
            <v>8.8000000000000007</v>
          </cell>
          <cell r="R32">
            <v>11</v>
          </cell>
          <cell r="S32">
            <v>18</v>
          </cell>
          <cell r="T32">
            <v>22.5</v>
          </cell>
          <cell r="U32">
            <v>8.8000000000000007</v>
          </cell>
          <cell r="V32">
            <v>11</v>
          </cell>
          <cell r="W32">
            <v>11</v>
          </cell>
        </row>
        <row r="33">
          <cell r="A33" t="str">
            <v>Lansdale</v>
          </cell>
          <cell r="B33">
            <v>21002</v>
          </cell>
          <cell r="C33" t="str">
            <v>Monday</v>
          </cell>
          <cell r="D33">
            <v>0</v>
          </cell>
          <cell r="E33" t="str">
            <v>Sunday</v>
          </cell>
          <cell r="F33">
            <v>0.99998842592592596</v>
          </cell>
          <cell r="G33">
            <v>4.9000000000000004</v>
          </cell>
          <cell r="H33">
            <v>6.6</v>
          </cell>
          <cell r="I33">
            <v>8.1</v>
          </cell>
          <cell r="J33">
            <v>-1</v>
          </cell>
          <cell r="K33">
            <v>-1</v>
          </cell>
          <cell r="L33">
            <v>-1</v>
          </cell>
          <cell r="M33">
            <v>10</v>
          </cell>
          <cell r="N33">
            <v>13.3</v>
          </cell>
          <cell r="O33">
            <v>17</v>
          </cell>
          <cell r="P33">
            <v>4.9000000000000004</v>
          </cell>
          <cell r="Q33">
            <v>6.6</v>
          </cell>
          <cell r="R33">
            <v>8.1</v>
          </cell>
          <cell r="S33">
            <v>13.3</v>
          </cell>
          <cell r="T33">
            <v>17</v>
          </cell>
          <cell r="U33">
            <v>6.6</v>
          </cell>
          <cell r="V33">
            <v>8.1</v>
          </cell>
          <cell r="W33">
            <v>8.1</v>
          </cell>
        </row>
        <row r="34">
          <cell r="A34" t="str">
            <v>Quakertown</v>
          </cell>
          <cell r="B34">
            <v>21004</v>
          </cell>
          <cell r="C34" t="str">
            <v>Monday</v>
          </cell>
          <cell r="D34">
            <v>0</v>
          </cell>
          <cell r="E34" t="str">
            <v>Sunday</v>
          </cell>
          <cell r="F34">
            <v>0.99998842592592596</v>
          </cell>
          <cell r="G34">
            <v>3.6</v>
          </cell>
          <cell r="H34">
            <v>5.4</v>
          </cell>
          <cell r="I34">
            <v>5.8</v>
          </cell>
          <cell r="J34">
            <v>-1</v>
          </cell>
          <cell r="K34">
            <v>-1</v>
          </cell>
          <cell r="L34">
            <v>-1</v>
          </cell>
          <cell r="M34">
            <v>7.6</v>
          </cell>
          <cell r="N34">
            <v>11.1</v>
          </cell>
          <cell r="O34">
            <v>12.2</v>
          </cell>
          <cell r="P34">
            <v>3.6</v>
          </cell>
          <cell r="Q34">
            <v>5.4</v>
          </cell>
          <cell r="R34">
            <v>5.8</v>
          </cell>
          <cell r="S34">
            <v>11.1</v>
          </cell>
          <cell r="T34">
            <v>12.2</v>
          </cell>
          <cell r="U34">
            <v>5.4</v>
          </cell>
          <cell r="V34">
            <v>5.8</v>
          </cell>
          <cell r="W34">
            <v>5.8</v>
          </cell>
        </row>
        <row r="35">
          <cell r="A35" t="str">
            <v>Lehigh Valley</v>
          </cell>
          <cell r="B35">
            <v>21006</v>
          </cell>
          <cell r="C35" t="str">
            <v>Monday</v>
          </cell>
          <cell r="D35">
            <v>0</v>
          </cell>
          <cell r="E35" t="str">
            <v>Sunday</v>
          </cell>
          <cell r="F35">
            <v>0.99998842592592596</v>
          </cell>
          <cell r="G35">
            <v>2.7</v>
          </cell>
          <cell r="H35">
            <v>3.6</v>
          </cell>
          <cell r="I35">
            <v>4.2</v>
          </cell>
          <cell r="J35">
            <v>-1</v>
          </cell>
          <cell r="K35">
            <v>-1</v>
          </cell>
          <cell r="L35">
            <v>-1</v>
          </cell>
          <cell r="M35">
            <v>5.3</v>
          </cell>
          <cell r="N35">
            <v>7.6</v>
          </cell>
          <cell r="O35">
            <v>8.9</v>
          </cell>
          <cell r="P35">
            <v>2.7</v>
          </cell>
          <cell r="Q35">
            <v>3.6</v>
          </cell>
          <cell r="R35">
            <v>4.2</v>
          </cell>
          <cell r="S35">
            <v>7.6</v>
          </cell>
          <cell r="T35">
            <v>8.9</v>
          </cell>
          <cell r="U35">
            <v>3.6</v>
          </cell>
          <cell r="V35">
            <v>4.2</v>
          </cell>
          <cell r="W35">
            <v>4.2</v>
          </cell>
        </row>
        <row r="36">
          <cell r="A36" t="str">
            <v>Mahoning Valley</v>
          </cell>
          <cell r="B36">
            <v>21008</v>
          </cell>
          <cell r="C36" t="str">
            <v>Monday</v>
          </cell>
          <cell r="D36">
            <v>0</v>
          </cell>
          <cell r="E36" t="str">
            <v>Sunday</v>
          </cell>
          <cell r="F36">
            <v>0.99998842592592596</v>
          </cell>
          <cell r="G36">
            <v>2.7</v>
          </cell>
          <cell r="H36">
            <v>3.6</v>
          </cell>
          <cell r="I36">
            <v>4.2</v>
          </cell>
          <cell r="J36">
            <v>-1</v>
          </cell>
          <cell r="K36">
            <v>-1</v>
          </cell>
          <cell r="L36">
            <v>-1</v>
          </cell>
          <cell r="M36">
            <v>5.3</v>
          </cell>
          <cell r="N36">
            <v>7.6</v>
          </cell>
          <cell r="O36">
            <v>8.9</v>
          </cell>
          <cell r="P36">
            <v>2.7</v>
          </cell>
          <cell r="Q36">
            <v>3.6</v>
          </cell>
          <cell r="R36">
            <v>4.2</v>
          </cell>
          <cell r="S36">
            <v>7.6</v>
          </cell>
          <cell r="T36">
            <v>8.9</v>
          </cell>
          <cell r="U36">
            <v>3.6</v>
          </cell>
          <cell r="V36">
            <v>4.2</v>
          </cell>
          <cell r="W36">
            <v>4.2</v>
          </cell>
        </row>
        <row r="37">
          <cell r="A37" t="str">
            <v>S.R. 903</v>
          </cell>
          <cell r="B37">
            <v>21010</v>
          </cell>
          <cell r="C37" t="str">
            <v>Monday</v>
          </cell>
          <cell r="D37">
            <v>0</v>
          </cell>
          <cell r="E37" t="str">
            <v>Sunday</v>
          </cell>
          <cell r="F37">
            <v>0.99998842592592596</v>
          </cell>
          <cell r="G37">
            <v>0</v>
          </cell>
          <cell r="H37">
            <v>0</v>
          </cell>
          <cell r="I37">
            <v>0</v>
          </cell>
          <cell r="J37">
            <v>-1</v>
          </cell>
          <cell r="K37">
            <v>-1</v>
          </cell>
          <cell r="L37">
            <v>-1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  <cell r="T37">
            <v>0</v>
          </cell>
          <cell r="U37">
            <v>0</v>
          </cell>
          <cell r="V37">
            <v>0</v>
          </cell>
          <cell r="W37">
            <v>0</v>
          </cell>
        </row>
        <row r="38">
          <cell r="A38" t="str">
            <v>Pocono</v>
          </cell>
          <cell r="B38">
            <v>21012</v>
          </cell>
          <cell r="C38" t="str">
            <v>Monday</v>
          </cell>
          <cell r="D38">
            <v>0</v>
          </cell>
          <cell r="E38" t="str">
            <v>Sunday</v>
          </cell>
          <cell r="F38">
            <v>0.99998842592592596</v>
          </cell>
          <cell r="G38">
            <v>0</v>
          </cell>
          <cell r="H38">
            <v>0</v>
          </cell>
          <cell r="I38">
            <v>0</v>
          </cell>
          <cell r="J38">
            <v>-1</v>
          </cell>
          <cell r="K38">
            <v>-1</v>
          </cell>
          <cell r="L38">
            <v>-1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0</v>
          </cell>
          <cell r="R38">
            <v>0</v>
          </cell>
          <cell r="S38">
            <v>0</v>
          </cell>
          <cell r="T38">
            <v>0</v>
          </cell>
          <cell r="U38">
            <v>0</v>
          </cell>
          <cell r="V38">
            <v>0</v>
          </cell>
          <cell r="W38">
            <v>0</v>
          </cell>
        </row>
        <row r="39">
          <cell r="A39" t="str">
            <v>Wilkes-Barre</v>
          </cell>
          <cell r="B39">
            <v>21014</v>
          </cell>
          <cell r="C39" t="str">
            <v>Monday</v>
          </cell>
          <cell r="D39">
            <v>0</v>
          </cell>
          <cell r="E39" t="str">
            <v>Sunday</v>
          </cell>
          <cell r="F39">
            <v>0.99998842592592596</v>
          </cell>
          <cell r="G39">
            <v>-1</v>
          </cell>
          <cell r="H39">
            <v>-1</v>
          </cell>
          <cell r="I39">
            <v>-1</v>
          </cell>
          <cell r="J39">
            <v>-1</v>
          </cell>
          <cell r="K39">
            <v>-1</v>
          </cell>
          <cell r="L39">
            <v>-1</v>
          </cell>
          <cell r="M39">
            <v>-1</v>
          </cell>
          <cell r="N39">
            <v>-1</v>
          </cell>
          <cell r="O39">
            <v>-1</v>
          </cell>
          <cell r="P39">
            <v>-1</v>
          </cell>
          <cell r="Q39">
            <v>-1</v>
          </cell>
          <cell r="R39">
            <v>-1</v>
          </cell>
          <cell r="S39">
            <v>-1</v>
          </cell>
          <cell r="T39">
            <v>-1</v>
          </cell>
          <cell r="U39">
            <v>-1</v>
          </cell>
          <cell r="V39">
            <v>-1</v>
          </cell>
          <cell r="W39">
            <v>-1</v>
          </cell>
        </row>
        <row r="40">
          <cell r="A40" t="str">
            <v>Wyoming Valley</v>
          </cell>
          <cell r="B40">
            <v>21016</v>
          </cell>
          <cell r="C40" t="str">
            <v>Monday</v>
          </cell>
          <cell r="D40">
            <v>0</v>
          </cell>
          <cell r="E40" t="str">
            <v>Sunday</v>
          </cell>
          <cell r="F40">
            <v>0.99998842592592596</v>
          </cell>
          <cell r="G40">
            <v>-1</v>
          </cell>
          <cell r="H40">
            <v>-1</v>
          </cell>
          <cell r="I40">
            <v>-1</v>
          </cell>
          <cell r="J40">
            <v>-1</v>
          </cell>
          <cell r="K40">
            <v>-1</v>
          </cell>
          <cell r="L40">
            <v>-1</v>
          </cell>
          <cell r="M40">
            <v>-1</v>
          </cell>
          <cell r="N40">
            <v>-1</v>
          </cell>
          <cell r="O40">
            <v>-1</v>
          </cell>
          <cell r="P40">
            <v>-1</v>
          </cell>
          <cell r="Q40">
            <v>-1</v>
          </cell>
          <cell r="R40">
            <v>-1</v>
          </cell>
          <cell r="S40">
            <v>-1</v>
          </cell>
          <cell r="T40">
            <v>-1</v>
          </cell>
          <cell r="U40">
            <v>-1</v>
          </cell>
          <cell r="V40">
            <v>-1</v>
          </cell>
          <cell r="W40">
            <v>-1</v>
          </cell>
        </row>
        <row r="42">
          <cell r="H42" t="str">
            <v>0")</v>
          </cell>
        </row>
        <row r="43">
          <cell r="B43" t="str">
            <v>Give the sum of all values greater than '20' in column H labelled 'car2'</v>
          </cell>
          <cell r="F43">
            <v>0</v>
          </cell>
        </row>
        <row r="1048576">
          <cell r="H1048576">
            <v>1540.4999999999993</v>
          </cell>
        </row>
      </sheetData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" x14ac:dyDescent="0.3"/>
  <cols>
    <col min="1" max="1" width="70.796875" style="2" bestFit="1" customWidth="1"/>
    <col min="2" max="16384" width="11" style="2"/>
  </cols>
  <sheetData>
    <row r="1" spans="1:3" ht="18.5" x14ac:dyDescent="0.45">
      <c r="A1" s="39" t="s">
        <v>109</v>
      </c>
    </row>
    <row r="2" spans="1:3" x14ac:dyDescent="0.3">
      <c r="A2" s="2" t="s">
        <v>110</v>
      </c>
    </row>
    <row r="3" spans="1:3" x14ac:dyDescent="0.3">
      <c r="A3" s="2" t="s">
        <v>111</v>
      </c>
    </row>
    <row r="4" spans="1:3" ht="14.5" x14ac:dyDescent="0.35">
      <c r="A4" s="2" t="s">
        <v>112</v>
      </c>
      <c r="C4" s="1"/>
    </row>
    <row r="5" spans="1:3" x14ac:dyDescent="0.3">
      <c r="A5" s="2" t="s">
        <v>153</v>
      </c>
    </row>
    <row r="8" spans="1:3" x14ac:dyDescent="0.3">
      <c r="A8" s="2" t="s">
        <v>174</v>
      </c>
    </row>
    <row r="9" spans="1:3" x14ac:dyDescent="0.3">
      <c r="A9" s="36" t="s">
        <v>172</v>
      </c>
      <c r="B9" s="25" t="s">
        <v>170</v>
      </c>
    </row>
    <row r="10" spans="1:3" x14ac:dyDescent="0.3">
      <c r="A10" s="35" t="s">
        <v>173</v>
      </c>
      <c r="B10" s="37">
        <v>25</v>
      </c>
    </row>
    <row r="11" spans="1:3" x14ac:dyDescent="0.3">
      <c r="A11" s="35" t="s">
        <v>55</v>
      </c>
      <c r="B11" s="37">
        <v>30</v>
      </c>
    </row>
    <row r="12" spans="1:3" x14ac:dyDescent="0.3">
      <c r="A12" s="35" t="s">
        <v>56</v>
      </c>
      <c r="B12" s="37">
        <v>10</v>
      </c>
    </row>
    <row r="13" spans="1:3" x14ac:dyDescent="0.3">
      <c r="A13" s="35" t="s">
        <v>85</v>
      </c>
      <c r="B13" s="37">
        <v>20</v>
      </c>
    </row>
    <row r="14" spans="1:3" x14ac:dyDescent="0.3">
      <c r="A14" s="35" t="s">
        <v>98</v>
      </c>
      <c r="B14" s="37">
        <v>40</v>
      </c>
    </row>
    <row r="15" spans="1:3" x14ac:dyDescent="0.3">
      <c r="A15" s="38" t="s">
        <v>171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0"/>
  <sheetViews>
    <sheetView tabSelected="1" zoomScaleNormal="100" workbookViewId="0"/>
  </sheetViews>
  <sheetFormatPr defaultColWidth="9" defaultRowHeight="14.5" x14ac:dyDescent="0.35"/>
  <cols>
    <col min="1" max="1" width="25.3984375" style="1" bestFit="1" customWidth="1"/>
    <col min="2" max="2" width="7.3984375" style="1" bestFit="1" customWidth="1"/>
    <col min="3" max="3" width="9.796875" style="1" bestFit="1" customWidth="1"/>
    <col min="4" max="4" width="11" style="23" customWidth="1"/>
    <col min="5" max="5" width="9.19921875" style="1" bestFit="1" customWidth="1"/>
    <col min="6" max="6" width="10.3984375" style="23" bestFit="1" customWidth="1"/>
    <col min="7" max="9" width="12.796875" style="1" bestFit="1" customWidth="1"/>
    <col min="10" max="12" width="13" style="1" bestFit="1" customWidth="1"/>
    <col min="13" max="15" width="14.19921875" style="1" bestFit="1" customWidth="1"/>
    <col min="16" max="18" width="14.3984375" style="1" bestFit="1" customWidth="1"/>
    <col min="19" max="20" width="18.796875" style="1" bestFit="1" customWidth="1"/>
    <col min="21" max="23" width="19" style="1" bestFit="1" customWidth="1"/>
    <col min="24" max="24" width="12.59765625" style="1" bestFit="1" customWidth="1"/>
    <col min="25" max="16384" width="9" style="1"/>
  </cols>
  <sheetData>
    <row r="1" spans="1:24" s="3" customFormat="1" ht="14.75" customHeight="1" x14ac:dyDescent="0.35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3" t="s">
        <v>106</v>
      </c>
    </row>
    <row r="2" spans="1:24" x14ac:dyDescent="0.35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26">
        <v>45051</v>
      </c>
    </row>
    <row r="3" spans="1:24" x14ac:dyDescent="0.35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26">
        <v>45048</v>
      </c>
    </row>
    <row r="4" spans="1:24" x14ac:dyDescent="0.35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26">
        <v>45055</v>
      </c>
    </row>
    <row r="5" spans="1:24" x14ac:dyDescent="0.35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26">
        <v>45059</v>
      </c>
    </row>
    <row r="6" spans="1:24" x14ac:dyDescent="0.35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26">
        <v>45076</v>
      </c>
    </row>
    <row r="7" spans="1:24" x14ac:dyDescent="0.35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26">
        <v>45057</v>
      </c>
    </row>
    <row r="8" spans="1:24" x14ac:dyDescent="0.35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26">
        <v>45052</v>
      </c>
    </row>
    <row r="9" spans="1:24" x14ac:dyDescent="0.35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26">
        <v>45098</v>
      </c>
    </row>
    <row r="10" spans="1:24" x14ac:dyDescent="0.35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26">
        <v>45092</v>
      </c>
    </row>
    <row r="11" spans="1:24" x14ac:dyDescent="0.35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26">
        <v>45104</v>
      </c>
    </row>
    <row r="12" spans="1:24" x14ac:dyDescent="0.35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26">
        <v>45116</v>
      </c>
    </row>
    <row r="13" spans="1:24" x14ac:dyDescent="0.35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26">
        <v>45110</v>
      </c>
    </row>
    <row r="14" spans="1:24" x14ac:dyDescent="0.35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26">
        <v>45095</v>
      </c>
    </row>
    <row r="15" spans="1:24" x14ac:dyDescent="0.35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26">
        <v>45113</v>
      </c>
    </row>
    <row r="16" spans="1:24" x14ac:dyDescent="0.35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26">
        <v>45063</v>
      </c>
    </row>
    <row r="17" spans="1:24" x14ac:dyDescent="0.35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26">
        <v>45071</v>
      </c>
    </row>
    <row r="18" spans="1:24" x14ac:dyDescent="0.35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26">
        <v>45085</v>
      </c>
    </row>
    <row r="19" spans="1:24" x14ac:dyDescent="0.35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26">
        <v>45099</v>
      </c>
    </row>
    <row r="20" spans="1:24" x14ac:dyDescent="0.35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26">
        <v>45091</v>
      </c>
    </row>
    <row r="21" spans="1:24" x14ac:dyDescent="0.35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26">
        <v>45079</v>
      </c>
    </row>
    <row r="22" spans="1:24" x14ac:dyDescent="0.35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26">
        <v>45075</v>
      </c>
    </row>
    <row r="23" spans="1:24" x14ac:dyDescent="0.35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26">
        <v>45110</v>
      </c>
    </row>
    <row r="24" spans="1:24" x14ac:dyDescent="0.35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26">
        <v>45114</v>
      </c>
    </row>
    <row r="25" spans="1:24" x14ac:dyDescent="0.35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26">
        <v>45118</v>
      </c>
    </row>
    <row r="26" spans="1:24" x14ac:dyDescent="0.35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26">
        <v>45142</v>
      </c>
    </row>
    <row r="27" spans="1:24" x14ac:dyDescent="0.35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26">
        <v>45146</v>
      </c>
    </row>
    <row r="28" spans="1:24" x14ac:dyDescent="0.35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26">
        <v>45108</v>
      </c>
    </row>
    <row r="29" spans="1:24" x14ac:dyDescent="0.35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26">
        <v>45153</v>
      </c>
    </row>
    <row r="30" spans="1:24" x14ac:dyDescent="0.35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26">
        <v>45150</v>
      </c>
    </row>
    <row r="31" spans="1:24" x14ac:dyDescent="0.35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26">
        <v>45157</v>
      </c>
    </row>
    <row r="32" spans="1:24" x14ac:dyDescent="0.35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26">
        <v>45143</v>
      </c>
    </row>
    <row r="33" spans="1:24" x14ac:dyDescent="0.35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26">
        <v>45166</v>
      </c>
    </row>
    <row r="34" spans="1:24" x14ac:dyDescent="0.35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26">
        <v>45162</v>
      </c>
    </row>
    <row r="35" spans="1:24" x14ac:dyDescent="0.35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26">
        <v>45160</v>
      </c>
    </row>
    <row r="36" spans="1:24" x14ac:dyDescent="0.35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26">
        <v>45179</v>
      </c>
    </row>
    <row r="37" spans="1:24" x14ac:dyDescent="0.35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26">
        <v>45157</v>
      </c>
    </row>
    <row r="38" spans="1:24" x14ac:dyDescent="0.35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26">
        <v>45143</v>
      </c>
    </row>
    <row r="39" spans="1:24" x14ac:dyDescent="0.35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26">
        <v>45166</v>
      </c>
    </row>
    <row r="40" spans="1:24" x14ac:dyDescent="0.35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26">
        <v>45162</v>
      </c>
    </row>
  </sheetData>
  <conditionalFormatting sqref="A1:A1048576">
    <cfRule type="duplicateValues" dxfId="1" priority="2"/>
  </conditionalFormatting>
  <conditionalFormatting sqref="B1:B1048576">
    <cfRule type="duplicateValues" dxfId="0" priority="1"/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B5" sqref="B5"/>
    </sheetView>
  </sheetViews>
  <sheetFormatPr defaultColWidth="11" defaultRowHeight="14.5" x14ac:dyDescent="0.35"/>
  <cols>
    <col min="1" max="1" width="8.3984375" style="1" bestFit="1" customWidth="1"/>
    <col min="2" max="2" width="65.796875" style="1" bestFit="1" customWidth="1"/>
    <col min="3" max="3" width="27.59765625" style="1" bestFit="1" customWidth="1"/>
    <col min="4" max="4" width="11" style="1"/>
    <col min="5" max="5" width="14.3984375" style="1" bestFit="1" customWidth="1"/>
    <col min="6" max="16384" width="11" style="1"/>
  </cols>
  <sheetData>
    <row r="1" spans="1:5" x14ac:dyDescent="0.35">
      <c r="A1" s="4" t="s">
        <v>47</v>
      </c>
      <c r="B1" s="4" t="s">
        <v>48</v>
      </c>
      <c r="C1" s="4" t="s">
        <v>44</v>
      </c>
      <c r="E1" s="4" t="s">
        <v>177</v>
      </c>
    </row>
    <row r="2" spans="1:5" x14ac:dyDescent="0.35">
      <c r="A2" s="2"/>
      <c r="B2" s="5" t="s">
        <v>161</v>
      </c>
      <c r="C2" s="2"/>
    </row>
    <row r="3" spans="1:5" x14ac:dyDescent="0.35">
      <c r="A3" s="6">
        <v>1</v>
      </c>
      <c r="B3" s="2" t="s">
        <v>108</v>
      </c>
      <c r="C3" s="2" t="s">
        <v>45</v>
      </c>
      <c r="E3" s="1">
        <v>5</v>
      </c>
    </row>
    <row r="4" spans="1:5" x14ac:dyDescent="0.35">
      <c r="A4" s="6">
        <v>2</v>
      </c>
      <c r="B4" s="2" t="s">
        <v>46</v>
      </c>
      <c r="C4" s="2"/>
      <c r="E4" s="1">
        <v>5</v>
      </c>
    </row>
    <row r="5" spans="1:5" x14ac:dyDescent="0.35">
      <c r="A5" s="6">
        <v>3</v>
      </c>
      <c r="B5" s="2" t="s">
        <v>104</v>
      </c>
      <c r="C5" s="34" t="s">
        <v>105</v>
      </c>
      <c r="D5" s="1">
        <f ca="1">SUMIFS(H:H, B:B, "car2", H:H, "&gt;20")</f>
        <v>0</v>
      </c>
      <c r="E5" s="1">
        <v>10</v>
      </c>
    </row>
    <row r="6" spans="1:5" x14ac:dyDescent="0.35">
      <c r="A6" s="6">
        <v>4</v>
      </c>
      <c r="B6" s="2" t="s">
        <v>107</v>
      </c>
      <c r="C6" s="2"/>
      <c r="E6" s="1">
        <v>5</v>
      </c>
    </row>
    <row r="7" spans="1:5" x14ac:dyDescent="0.35">
      <c r="A7" s="2"/>
      <c r="B7" s="2"/>
      <c r="C7" s="2"/>
    </row>
    <row r="13" spans="1:5" x14ac:dyDescent="0.35">
      <c r="E13" s="2"/>
    </row>
    <row r="14" spans="1:5" x14ac:dyDescent="0.3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18" zoomScaleNormal="100" workbookViewId="0">
      <selection activeCell="F29" sqref="F29"/>
    </sheetView>
  </sheetViews>
  <sheetFormatPr defaultColWidth="11" defaultRowHeight="13" x14ac:dyDescent="0.3"/>
  <cols>
    <col min="1" max="1" width="18.59765625" style="2" bestFit="1" customWidth="1"/>
    <col min="2" max="6" width="15.3984375" style="2" customWidth="1"/>
    <col min="7" max="7" width="11" style="2"/>
    <col min="8" max="8" width="14.3984375" style="2" bestFit="1" customWidth="1"/>
    <col min="9" max="16384" width="11" style="2"/>
  </cols>
  <sheetData>
    <row r="1" spans="1:7" s="41" customFormat="1" ht="21" x14ac:dyDescent="0.5">
      <c r="A1" s="42" t="s">
        <v>55</v>
      </c>
      <c r="B1" s="41" t="s">
        <v>165</v>
      </c>
    </row>
    <row r="2" spans="1:7" s="41" customFormat="1" ht="21" x14ac:dyDescent="0.5">
      <c r="B2" s="41" t="s">
        <v>162</v>
      </c>
    </row>
    <row r="3" spans="1:7" ht="14.5" x14ac:dyDescent="0.35">
      <c r="A3" s="1"/>
      <c r="B3" s="1"/>
      <c r="C3" s="1"/>
      <c r="D3" s="1"/>
      <c r="E3" s="1"/>
      <c r="F3" s="1"/>
      <c r="G3" s="1"/>
    </row>
    <row r="4" spans="1:7" ht="23.5" x14ac:dyDescent="0.55000000000000004">
      <c r="A4" s="17" t="s">
        <v>163</v>
      </c>
      <c r="B4" s="1"/>
      <c r="C4" s="1"/>
      <c r="D4" s="1"/>
      <c r="E4" s="1"/>
      <c r="F4" s="1"/>
      <c r="G4" s="1"/>
    </row>
    <row r="5" spans="1:7" ht="14.5" x14ac:dyDescent="0.35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</row>
    <row r="6" spans="1:7" ht="14.5" x14ac:dyDescent="0.35">
      <c r="A6" s="7" t="s">
        <v>40</v>
      </c>
      <c r="B6" s="11">
        <f>VLOOKUP(A6,[1]Task1!$A:$W,7,)</f>
        <v>51.8</v>
      </c>
      <c r="C6" s="11">
        <f>VLOOKUP(A6,[1]Task1!$A:$W,14,)</f>
        <v>156.4</v>
      </c>
      <c r="D6" s="11">
        <f>VLOOKUP(A6,[1]Task1!$A:$W,18,)</f>
        <v>93.1</v>
      </c>
      <c r="E6" s="11">
        <f>VLOOKUP(A6,[1]Task1!$A:$W,19,)</f>
        <v>156.4</v>
      </c>
      <c r="F6" s="8">
        <f>VLOOKUP(A6,[1]Task1!$A:$W,22,)</f>
        <v>93.1</v>
      </c>
    </row>
    <row r="7" spans="1:7" ht="14.5" x14ac:dyDescent="0.35">
      <c r="A7" s="7" t="s">
        <v>4</v>
      </c>
      <c r="B7" s="11">
        <f>VLOOKUP(A7,[1]Task1!$A:$W,7,)</f>
        <v>50.6</v>
      </c>
      <c r="C7" s="11">
        <f>VLOOKUP(A7,[1]Task1!$A:$W,14,)</f>
        <v>151.5</v>
      </c>
      <c r="D7" s="11">
        <f>VLOOKUP(A7,[1]Task1!$A:$W,18,)</f>
        <v>93.1</v>
      </c>
      <c r="E7" s="11">
        <f>VLOOKUP(A7,[1]Task1!$A:$W,19,)</f>
        <v>151.5</v>
      </c>
      <c r="F7" s="8">
        <f>VLOOKUP(A7,[1]Task1!$A:$W,22,)</f>
        <v>93.1</v>
      </c>
    </row>
    <row r="8" spans="1:7" ht="14.5" x14ac:dyDescent="0.35">
      <c r="A8" s="7" t="s">
        <v>7</v>
      </c>
      <c r="B8" s="11">
        <f>VLOOKUP(A8,[1]Task1!$A:$W,7,)</f>
        <v>49.1</v>
      </c>
      <c r="C8" s="11">
        <f>VLOOKUP(A8,[1]Task1!$A:$W,14,)</f>
        <v>146.80000000000001</v>
      </c>
      <c r="D8" s="11">
        <f>VLOOKUP(A8,[1]Task1!$A:$W,18,)</f>
        <v>90.9</v>
      </c>
      <c r="E8" s="11">
        <f>VLOOKUP(A8,[1]Task1!$A:$W,19,)</f>
        <v>146.80000000000001</v>
      </c>
      <c r="F8" s="8">
        <f>VLOOKUP(A8,[1]Task1!$A:$W,22,)</f>
        <v>90.9</v>
      </c>
    </row>
    <row r="9" spans="1:7" ht="14.5" x14ac:dyDescent="0.35">
      <c r="A9" s="7" t="s">
        <v>8</v>
      </c>
      <c r="B9" s="11">
        <f>VLOOKUP(A9,[1]Task1!$A:$W,7,)</f>
        <v>48.3</v>
      </c>
      <c r="C9" s="11">
        <f>VLOOKUP(A9,[1]Task1!$A:$W,14,)</f>
        <v>145.5</v>
      </c>
      <c r="D9" s="11">
        <f>VLOOKUP(A9,[1]Task1!$A:$W,18,)</f>
        <v>89</v>
      </c>
      <c r="E9" s="11">
        <f>VLOOKUP(A9,[1]Task1!$A:$W,19,)</f>
        <v>145.5</v>
      </c>
      <c r="F9" s="8">
        <f>VLOOKUP(A9,[1]Task1!$A:$W,22,)</f>
        <v>89</v>
      </c>
    </row>
    <row r="10" spans="1:7" ht="14.5" x14ac:dyDescent="0.35">
      <c r="A10" s="7" t="s">
        <v>11</v>
      </c>
      <c r="B10" s="11">
        <f>VLOOKUP(A10,[1]Task1!$A:$W,7,)</f>
        <v>44.5</v>
      </c>
      <c r="C10" s="11">
        <f>VLOOKUP(A10,[1]Task1!$A:$W,14,)</f>
        <v>133.4</v>
      </c>
      <c r="D10" s="11">
        <f>VLOOKUP(A10,[1]Task1!$A:$W,18,)</f>
        <v>81.8</v>
      </c>
      <c r="E10" s="11">
        <f>VLOOKUP(A10,[1]Task1!$A:$W,19,)</f>
        <v>133.4</v>
      </c>
      <c r="F10" s="8">
        <f>VLOOKUP(A10,[1]Task1!$A:$W,22,)</f>
        <v>81.8</v>
      </c>
    </row>
    <row r="11" spans="1:7" ht="14.5" x14ac:dyDescent="0.35">
      <c r="A11" s="7" t="s">
        <v>12</v>
      </c>
      <c r="B11" s="11">
        <f>VLOOKUP(A11,[1]Task1!$A:$W,7,)</f>
        <v>43.3</v>
      </c>
      <c r="C11" s="11">
        <f>VLOOKUP(A11,[1]Task1!$A:$W,14,)</f>
        <v>128.6</v>
      </c>
      <c r="D11" s="11">
        <f>VLOOKUP(A11,[1]Task1!$A:$W,18,)</f>
        <v>77.2</v>
      </c>
      <c r="E11" s="11">
        <f>VLOOKUP(A11,[1]Task1!$A:$W,19,)</f>
        <v>128.6</v>
      </c>
      <c r="F11" s="8">
        <f>VLOOKUP(A11,[1]Task1!$A:$W,22,)</f>
        <v>77.2</v>
      </c>
    </row>
    <row r="12" spans="1:7" ht="14.5" x14ac:dyDescent="0.35">
      <c r="A12" s="7" t="s">
        <v>14</v>
      </c>
      <c r="B12" s="11">
        <f>VLOOKUP(A12,[1]Task1!$A:$W,7,)</f>
        <v>42.3</v>
      </c>
      <c r="C12" s="11">
        <f>VLOOKUP(A12,[1]Task1!$A:$W,14,)</f>
        <v>124.4</v>
      </c>
      <c r="D12" s="11">
        <f>VLOOKUP(A12,[1]Task1!$A:$W,18,)</f>
        <v>75</v>
      </c>
      <c r="E12" s="11">
        <f>VLOOKUP(A12,[1]Task1!$A:$W,19,)</f>
        <v>124.4</v>
      </c>
      <c r="F12" s="8">
        <f>VLOOKUP(A12,[1]Task1!$A:$W,22,)</f>
        <v>75</v>
      </c>
    </row>
    <row r="13" spans="1:7" ht="14.5" x14ac:dyDescent="0.35">
      <c r="A13" s="7" t="s">
        <v>15</v>
      </c>
      <c r="B13" s="11">
        <f>VLOOKUP(A13,[1]Task1!$A:$W,7,)</f>
        <v>41.5</v>
      </c>
      <c r="C13" s="11">
        <f>VLOOKUP(A13,[1]Task1!$A:$W,14,)</f>
        <v>124.4</v>
      </c>
      <c r="D13" s="11">
        <f>VLOOKUP(A13,[1]Task1!$A:$W,18,)</f>
        <v>75</v>
      </c>
      <c r="E13" s="11">
        <f>VLOOKUP(A13,[1]Task1!$A:$W,19,)</f>
        <v>124.4</v>
      </c>
      <c r="F13" s="8">
        <f>VLOOKUP(A13,[1]Task1!$A:$W,22,)</f>
        <v>75</v>
      </c>
    </row>
    <row r="14" spans="1:7" ht="14.5" x14ac:dyDescent="0.35">
      <c r="A14" s="7" t="s">
        <v>16</v>
      </c>
      <c r="B14" s="11">
        <f>VLOOKUP(A14,[1]Task1!$A:$W,7,)</f>
        <v>41.3</v>
      </c>
      <c r="C14" s="11">
        <f>VLOOKUP(A14,[1]Task1!$A:$W,14,)</f>
        <v>124.4</v>
      </c>
      <c r="D14" s="11">
        <f>VLOOKUP(A14,[1]Task1!$A:$W,18,)</f>
        <v>75</v>
      </c>
      <c r="E14" s="11">
        <f>VLOOKUP(A14,[1]Task1!$A:$W,19,)</f>
        <v>124.4</v>
      </c>
      <c r="F14" s="8">
        <f>VLOOKUP(A14,[1]Task1!$A:$W,22,)</f>
        <v>75</v>
      </c>
    </row>
    <row r="15" spans="1:7" ht="14.5" x14ac:dyDescent="0.35">
      <c r="A15" s="7" t="s">
        <v>18</v>
      </c>
      <c r="B15" s="11">
        <f>VLOOKUP(A15,[1]Task1!$A:$W,7,)</f>
        <v>38.700000000000003</v>
      </c>
      <c r="C15" s="11">
        <f>VLOOKUP(A15,[1]Task1!$A:$W,14,)</f>
        <v>119.4</v>
      </c>
      <c r="D15" s="11">
        <f>VLOOKUP(A15,[1]Task1!$A:$W,18,)</f>
        <v>70.400000000000006</v>
      </c>
      <c r="E15" s="11">
        <f>VLOOKUP(A15,[1]Task1!$A:$W,19,)</f>
        <v>119.4</v>
      </c>
      <c r="F15" s="8">
        <f>VLOOKUP(A15,[1]Task1!$A:$W,22,)</f>
        <v>70.400000000000006</v>
      </c>
    </row>
    <row r="16" spans="1:7" ht="14.5" x14ac:dyDescent="0.35">
      <c r="A16" s="7" t="s">
        <v>20</v>
      </c>
      <c r="B16" s="11">
        <f>VLOOKUP(A16,[1]Task1!$A:$W,7,)</f>
        <v>36.5</v>
      </c>
      <c r="C16" s="11">
        <f>VLOOKUP(A16,[1]Task1!$A:$W,14,)</f>
        <v>110.3</v>
      </c>
      <c r="D16" s="11">
        <f>VLOOKUP(A16,[1]Task1!$A:$W,18,)</f>
        <v>65.900000000000006</v>
      </c>
      <c r="E16" s="11">
        <f>VLOOKUP(A16,[1]Task1!$A:$W,19,)</f>
        <v>110.3</v>
      </c>
      <c r="F16" s="8">
        <f>VLOOKUP(A16,[1]Task1!$A:$W,22,)</f>
        <v>65.900000000000006</v>
      </c>
    </row>
    <row r="17" spans="1:6" ht="14.5" x14ac:dyDescent="0.35">
      <c r="A17" s="7" t="s">
        <v>22</v>
      </c>
      <c r="B17" s="11">
        <f>VLOOKUP(A17,[1]Task1!$A:$W,7,)</f>
        <v>33.799999999999997</v>
      </c>
      <c r="C17" s="11">
        <f>VLOOKUP(A17,[1]Task1!$A:$W,14,)</f>
        <v>101.3</v>
      </c>
      <c r="D17" s="11">
        <f>VLOOKUP(A17,[1]Task1!$A:$W,18,)</f>
        <v>61.4</v>
      </c>
      <c r="E17" s="11">
        <f>VLOOKUP(A17,[1]Task1!$A:$W,19,)</f>
        <v>101.3</v>
      </c>
      <c r="F17" s="8">
        <f>VLOOKUP(A17,[1]Task1!$A:$W,22,)</f>
        <v>61.4</v>
      </c>
    </row>
    <row r="18" spans="1:6" ht="14.5" x14ac:dyDescent="0.35">
      <c r="A18" s="7" t="s">
        <v>23</v>
      </c>
      <c r="B18" s="11">
        <f>VLOOKUP(A18,[1]Task1!$A:$W,7,)</f>
        <v>30.7</v>
      </c>
      <c r="C18" s="11">
        <f>VLOOKUP(A18,[1]Task1!$A:$W,14,)</f>
        <v>92.1</v>
      </c>
      <c r="D18" s="11">
        <f>VLOOKUP(A18,[1]Task1!$A:$W,18,)</f>
        <v>57</v>
      </c>
      <c r="E18" s="11">
        <f>VLOOKUP(A18,[1]Task1!$A:$W,19,)</f>
        <v>92.1</v>
      </c>
      <c r="F18" s="8">
        <f>VLOOKUP(A18,[1]Task1!$A:$W,22,)</f>
        <v>57</v>
      </c>
    </row>
    <row r="19" spans="1:6" ht="14.5" x14ac:dyDescent="0.35">
      <c r="A19" s="7" t="s">
        <v>24</v>
      </c>
      <c r="B19" s="11">
        <f>VLOOKUP(A19,[1]Task1!$A:$W,7,)</f>
        <v>29.1</v>
      </c>
      <c r="C19" s="11">
        <f>VLOOKUP(A19,[1]Task1!$A:$W,14,)</f>
        <v>87.6</v>
      </c>
      <c r="D19" s="11">
        <f>VLOOKUP(A19,[1]Task1!$A:$W,18,)</f>
        <v>53.7</v>
      </c>
      <c r="E19" s="11">
        <f>VLOOKUP(A19,[1]Task1!$A:$W,19,)</f>
        <v>87.6</v>
      </c>
      <c r="F19" s="8">
        <f>VLOOKUP(A19,[1]Task1!$A:$W,22,)</f>
        <v>53.7</v>
      </c>
    </row>
    <row r="20" spans="1:6" ht="14.5" x14ac:dyDescent="0.35">
      <c r="A20" s="7" t="s">
        <v>28</v>
      </c>
      <c r="B20" s="11">
        <f>VLOOKUP(A20,[1]Task1!$A:$W,7,)</f>
        <v>21.9</v>
      </c>
      <c r="C20" s="11">
        <f>VLOOKUP(A20,[1]Task1!$A:$W,14,)</f>
        <v>61.5</v>
      </c>
      <c r="D20" s="11">
        <f>VLOOKUP(A20,[1]Task1!$A:$W,18,)</f>
        <v>40.1</v>
      </c>
      <c r="E20" s="11">
        <f>VLOOKUP(A20,[1]Task1!$A:$W,19,)</f>
        <v>61.5</v>
      </c>
      <c r="F20" s="8">
        <f>VLOOKUP(A20,[1]Task1!$A:$W,22,)</f>
        <v>40.1</v>
      </c>
    </row>
    <row r="21" spans="1:6" ht="14.5" x14ac:dyDescent="0.35">
      <c r="A21" s="7" t="s">
        <v>57</v>
      </c>
      <c r="B21" s="11">
        <f>VLOOKUP(A21,[1]Task1!$A:$W,7,)</f>
        <v>18.399999999999999</v>
      </c>
      <c r="C21" s="11">
        <f>VLOOKUP(A21,[1]Task1!$A:$W,14,)</f>
        <v>55.6</v>
      </c>
      <c r="D21" s="11">
        <f>VLOOKUP(A21,[1]Task1!$A:$W,18,)</f>
        <v>33.799999999999997</v>
      </c>
      <c r="E21" s="11">
        <f>VLOOKUP(A21,[1]Task1!$A:$W,19,)</f>
        <v>55.6</v>
      </c>
      <c r="F21" s="8">
        <f>VLOOKUP(A21,[1]Task1!$A:$W,22,)</f>
        <v>33.799999999999997</v>
      </c>
    </row>
    <row r="22" spans="1:6" ht="14.5" x14ac:dyDescent="0.35">
      <c r="A22" s="7" t="s">
        <v>58</v>
      </c>
      <c r="B22" s="11">
        <f>VLOOKUP(A22,[1]Task1!$A:$W,7,)</f>
        <v>9.4</v>
      </c>
      <c r="C22" s="11">
        <f>VLOOKUP(A22,[1]Task1!$A:$W,14,)</f>
        <v>28.3</v>
      </c>
      <c r="D22" s="11">
        <f>VLOOKUP(A22,[1]Task1!$A:$W,18,)</f>
        <v>16.100000000000001</v>
      </c>
      <c r="E22" s="11">
        <f>VLOOKUP(A22,[1]Task1!$A:$W,19,)</f>
        <v>28.3</v>
      </c>
      <c r="F22" s="8">
        <f>VLOOKUP(A22,[1]Task1!$A:$W,22,)</f>
        <v>16.100000000000001</v>
      </c>
    </row>
    <row r="23" spans="1:6" ht="14.5" x14ac:dyDescent="0.35">
      <c r="A23" s="7" t="s">
        <v>31</v>
      </c>
      <c r="B23" s="11">
        <f>VLOOKUP(A23,[1]Task1!$A:$W,7,)</f>
        <v>7.1</v>
      </c>
      <c r="C23" s="11">
        <f>VLOOKUP(A23,[1]Task1!$A:$W,14,)</f>
        <v>21.5</v>
      </c>
      <c r="D23" s="11">
        <f>VLOOKUP(A23,[1]Task1!$A:$W,18,)</f>
        <v>12.8</v>
      </c>
      <c r="E23" s="11">
        <f>VLOOKUP(A23,[1]Task1!$A:$W,19,)</f>
        <v>21.5</v>
      </c>
      <c r="F23" s="8">
        <f>VLOOKUP(A23,[1]Task1!$A:$W,22,)</f>
        <v>12.8</v>
      </c>
    </row>
    <row r="24" spans="1:6" ht="14.5" x14ac:dyDescent="0.35">
      <c r="A24" s="7" t="s">
        <v>32</v>
      </c>
      <c r="B24" s="11">
        <f>VLOOKUP(A24,[1]Task1!$A:$W,7,)</f>
        <v>6.6</v>
      </c>
      <c r="C24" s="11">
        <f>VLOOKUP(A24,[1]Task1!$A:$W,14,)</f>
        <v>18</v>
      </c>
      <c r="D24" s="11">
        <f>VLOOKUP(A24,[1]Task1!$A:$W,18,)</f>
        <v>11</v>
      </c>
      <c r="E24" s="11">
        <f>VLOOKUP(A24,[1]Task1!$A:$W,19,)</f>
        <v>18</v>
      </c>
      <c r="F24" s="8">
        <f>VLOOKUP(A24,[1]Task1!$A:$W,22,)</f>
        <v>11</v>
      </c>
    </row>
    <row r="25" spans="1:6" ht="14.5" x14ac:dyDescent="0.35">
      <c r="A25" s="7" t="s">
        <v>34</v>
      </c>
      <c r="B25" s="11">
        <f>VLOOKUP(A25,[1]Task1!$A:$W,7,)</f>
        <v>3.6</v>
      </c>
      <c r="C25" s="11">
        <f>VLOOKUP(A25,[1]Task1!$A:$W,14,)</f>
        <v>11.1</v>
      </c>
      <c r="D25" s="11">
        <f>VLOOKUP(A25,[1]Task1!$A:$W,18,)</f>
        <v>5.8</v>
      </c>
      <c r="E25" s="11">
        <f>VLOOKUP(A25,[1]Task1!$A:$W,19,)</f>
        <v>11.1</v>
      </c>
      <c r="F25" s="8">
        <f>VLOOKUP(A25,[1]Task1!$A:$W,22,)</f>
        <v>5.8</v>
      </c>
    </row>
    <row r="26" spans="1:6" ht="14.5" x14ac:dyDescent="0.35">
      <c r="A26" s="7" t="s">
        <v>37</v>
      </c>
      <c r="B26" s="11">
        <f>VLOOKUP(A26,[1]Task1!$A:$W,7,)</f>
        <v>0</v>
      </c>
      <c r="C26" s="11">
        <f>VLOOKUP(A26,[1]Task1!$A:$W,14,)</f>
        <v>0</v>
      </c>
      <c r="D26" s="11">
        <f>VLOOKUP(A26,[1]Task1!$A:$W,18,)</f>
        <v>0</v>
      </c>
      <c r="E26" s="11">
        <f>VLOOKUP(A26,[1]Task1!$A:$W,19,)</f>
        <v>0</v>
      </c>
      <c r="F26" s="8">
        <f>VLOOKUP(A26,[1]Task1!$A:$W,22,)</f>
        <v>0</v>
      </c>
    </row>
    <row r="27" spans="1:6" ht="14.5" x14ac:dyDescent="0.35">
      <c r="A27" s="7" t="s">
        <v>39</v>
      </c>
      <c r="B27" s="11">
        <f>VLOOKUP(A27,[1]Task1!$A:$W,7,)</f>
        <v>-1</v>
      </c>
      <c r="C27" s="11">
        <f>VLOOKUP(A27,[1]Task1!$A:$W,14,)</f>
        <v>-1</v>
      </c>
      <c r="D27" s="11">
        <f>VLOOKUP(A27,[1]Task1!$A:$W,18,)</f>
        <v>-1</v>
      </c>
      <c r="E27" s="11">
        <f>VLOOKUP(A27,[1]Task1!$A:$W,19,)</f>
        <v>-1</v>
      </c>
      <c r="F27" s="8">
        <f>VLOOKUP(A27,[1]Task1!$A:$W,22,)</f>
        <v>-1</v>
      </c>
    </row>
    <row r="28" spans="1:6" ht="14.5" x14ac:dyDescent="0.35">
      <c r="A28" s="18" t="s">
        <v>82</v>
      </c>
      <c r="B28" s="31">
        <f>MIN(B6:B27)</f>
        <v>-1</v>
      </c>
      <c r="C28" s="31">
        <f>MIN(C6:C27)</f>
        <v>-1</v>
      </c>
      <c r="D28" s="31">
        <f>MIN(D6:D27)</f>
        <v>-1</v>
      </c>
      <c r="E28" s="31">
        <f>MIN(E6:E27)</f>
        <v>-1</v>
      </c>
      <c r="F28" s="31">
        <f>MIN(F6:F27)</f>
        <v>-1</v>
      </c>
    </row>
    <row r="29" spans="1:6" ht="14.5" x14ac:dyDescent="0.35">
      <c r="A29" s="18" t="s">
        <v>83</v>
      </c>
      <c r="B29" s="31">
        <f>MAX(B6:B27)</f>
        <v>51.8</v>
      </c>
      <c r="C29" s="31">
        <f>MAX(C6:C28)</f>
        <v>156.4</v>
      </c>
      <c r="D29" s="31">
        <f>MAX(D6:D28)</f>
        <v>93.1</v>
      </c>
      <c r="E29" s="31">
        <f>MAX(E6:E28)</f>
        <v>156.4</v>
      </c>
      <c r="F29" s="31">
        <f>MAX(F6:F28)</f>
        <v>93.1</v>
      </c>
    </row>
    <row r="30" spans="1:6" ht="14.5" x14ac:dyDescent="0.35">
      <c r="A30" s="18" t="s">
        <v>84</v>
      </c>
      <c r="B30" s="31">
        <f>AVERAGE(B6:B28)</f>
        <v>28.108695652173918</v>
      </c>
      <c r="C30" s="31">
        <f>AVERAGE(C6:C29)</f>
        <v>87.354166666666643</v>
      </c>
      <c r="D30" s="31">
        <f>AVERAGE(D6:D29)</f>
        <v>52.883333333333319</v>
      </c>
      <c r="E30" s="31">
        <f>AVERAGE(E6:E29)</f>
        <v>87.354166666666643</v>
      </c>
      <c r="F30" s="31">
        <f>AVERAGE(F6:F29)</f>
        <v>52.883333333333319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>
      <selection activeCell="F16" sqref="F16"/>
    </sheetView>
  </sheetViews>
  <sheetFormatPr defaultColWidth="11" defaultRowHeight="14.5" x14ac:dyDescent="0.35"/>
  <cols>
    <col min="1" max="1" width="39.796875" style="1" bestFit="1" customWidth="1"/>
    <col min="2" max="16384" width="11" style="1"/>
  </cols>
  <sheetData>
    <row r="1" spans="1:10" s="41" customFormat="1" ht="21" x14ac:dyDescent="0.5">
      <c r="A1" s="42" t="s">
        <v>56</v>
      </c>
      <c r="B1" s="41" t="s">
        <v>175</v>
      </c>
    </row>
    <row r="2" spans="1:10" customFormat="1" ht="13" x14ac:dyDescent="0.3"/>
    <row r="3" spans="1:10" s="2" customFormat="1" x14ac:dyDescent="0.35">
      <c r="B3" s="1"/>
    </row>
    <row r="4" spans="1:10" s="2" customFormat="1" x14ac:dyDescent="0.35">
      <c r="B4" s="1" t="s">
        <v>152</v>
      </c>
    </row>
    <row r="5" spans="1:10" ht="18.5" x14ac:dyDescent="0.45">
      <c r="A5" s="43" t="s">
        <v>53</v>
      </c>
      <c r="B5" s="40"/>
    </row>
    <row r="6" spans="1:10" ht="18.5" x14ac:dyDescent="0.45">
      <c r="A6" s="43" t="s">
        <v>154</v>
      </c>
      <c r="B6" s="40"/>
    </row>
    <row r="7" spans="1:10" ht="18.5" x14ac:dyDescent="0.45">
      <c r="A7" s="43"/>
      <c r="B7" s="40"/>
    </row>
    <row r="9" spans="1:10" ht="23.5" x14ac:dyDescent="0.55000000000000004">
      <c r="A9" s="17" t="s">
        <v>166</v>
      </c>
      <c r="I9" s="2"/>
      <c r="J9" s="2"/>
    </row>
    <row r="10" spans="1:10" x14ac:dyDescent="0.35">
      <c r="A10" s="33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0" x14ac:dyDescent="0.35">
      <c r="A11" s="9" t="s">
        <v>122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3.5" x14ac:dyDescent="0.55000000000000004">
      <c r="A14" s="17" t="s">
        <v>163</v>
      </c>
    </row>
    <row r="15" spans="1:10" x14ac:dyDescent="0.35">
      <c r="A15" s="13" t="s">
        <v>103</v>
      </c>
      <c r="B15" s="16" t="s">
        <v>49</v>
      </c>
      <c r="C15" s="14" t="s">
        <v>50</v>
      </c>
      <c r="D15" s="16" t="s">
        <v>51</v>
      </c>
      <c r="E15" s="14" t="s">
        <v>52</v>
      </c>
      <c r="F15" s="16" t="s">
        <v>54</v>
      </c>
    </row>
    <row r="16" spans="1:10" x14ac:dyDescent="0.35">
      <c r="A16" s="7" t="s">
        <v>122</v>
      </c>
      <c r="B16" s="11">
        <v>200000</v>
      </c>
      <c r="C16" s="1" t="s">
        <v>5</v>
      </c>
      <c r="D16" s="11">
        <v>0</v>
      </c>
      <c r="E16" s="1" t="s">
        <v>6</v>
      </c>
      <c r="F16" s="11">
        <v>24</v>
      </c>
    </row>
    <row r="17" spans="1:6" x14ac:dyDescent="0.35">
      <c r="A17" s="7" t="s">
        <v>123</v>
      </c>
      <c r="B17" s="11">
        <v>200020</v>
      </c>
      <c r="C17" s="1" t="s">
        <v>5</v>
      </c>
      <c r="D17" s="11">
        <v>0</v>
      </c>
      <c r="E17" s="1" t="s">
        <v>6</v>
      </c>
      <c r="F17" s="11">
        <v>24</v>
      </c>
    </row>
    <row r="18" spans="1:6" x14ac:dyDescent="0.35">
      <c r="A18" s="7" t="s">
        <v>124</v>
      </c>
      <c r="B18" s="11">
        <v>200040</v>
      </c>
      <c r="C18" s="1" t="s">
        <v>5</v>
      </c>
      <c r="D18" s="11">
        <v>0</v>
      </c>
      <c r="E18" s="1" t="s">
        <v>6</v>
      </c>
      <c r="F18" s="11">
        <v>24</v>
      </c>
    </row>
    <row r="19" spans="1:6" x14ac:dyDescent="0.35">
      <c r="A19" s="7" t="s">
        <v>125</v>
      </c>
      <c r="B19" s="11">
        <v>200060</v>
      </c>
      <c r="C19" s="1" t="s">
        <v>5</v>
      </c>
      <c r="D19" s="11">
        <v>0</v>
      </c>
      <c r="E19" s="1" t="s">
        <v>6</v>
      </c>
      <c r="F19" s="11">
        <v>24</v>
      </c>
    </row>
    <row r="20" spans="1:6" x14ac:dyDescent="0.35">
      <c r="A20" s="7" t="s">
        <v>126</v>
      </c>
      <c r="B20" s="11">
        <v>200080</v>
      </c>
      <c r="C20" s="1" t="s">
        <v>5</v>
      </c>
      <c r="D20" s="11">
        <v>0</v>
      </c>
      <c r="E20" s="1" t="s">
        <v>6</v>
      </c>
      <c r="F20" s="11">
        <v>24</v>
      </c>
    </row>
    <row r="21" spans="1:6" x14ac:dyDescent="0.35">
      <c r="A21" s="7" t="s">
        <v>127</v>
      </c>
      <c r="B21" s="11">
        <v>200100</v>
      </c>
      <c r="C21" s="1" t="s">
        <v>5</v>
      </c>
      <c r="D21" s="11">
        <v>0</v>
      </c>
      <c r="E21" s="1" t="s">
        <v>6</v>
      </c>
      <c r="F21" s="11">
        <v>24</v>
      </c>
    </row>
    <row r="22" spans="1:6" x14ac:dyDescent="0.35">
      <c r="A22" s="7" t="s">
        <v>128</v>
      </c>
      <c r="B22" s="11">
        <v>200120</v>
      </c>
      <c r="C22" s="1" t="s">
        <v>5</v>
      </c>
      <c r="D22" s="11">
        <v>0</v>
      </c>
      <c r="E22" s="1" t="s">
        <v>6</v>
      </c>
      <c r="F22" s="11">
        <v>24</v>
      </c>
    </row>
    <row r="23" spans="1:6" x14ac:dyDescent="0.35">
      <c r="A23" s="7" t="s">
        <v>129</v>
      </c>
      <c r="B23" s="11">
        <v>200140</v>
      </c>
      <c r="C23" s="1" t="s">
        <v>5</v>
      </c>
      <c r="D23" s="11">
        <v>0</v>
      </c>
      <c r="E23" s="1" t="s">
        <v>6</v>
      </c>
      <c r="F23" s="11">
        <v>24</v>
      </c>
    </row>
    <row r="24" spans="1:6" x14ac:dyDescent="0.35">
      <c r="A24" s="7" t="s">
        <v>130</v>
      </c>
      <c r="B24" s="11">
        <v>200160</v>
      </c>
      <c r="C24" s="1" t="s">
        <v>5</v>
      </c>
      <c r="D24" s="11">
        <v>0</v>
      </c>
      <c r="E24" s="1" t="s">
        <v>6</v>
      </c>
      <c r="F24" s="11">
        <v>24</v>
      </c>
    </row>
    <row r="25" spans="1:6" x14ac:dyDescent="0.35">
      <c r="A25" s="7" t="s">
        <v>131</v>
      </c>
      <c r="B25" s="11">
        <v>200180</v>
      </c>
      <c r="C25" s="1" t="s">
        <v>5</v>
      </c>
      <c r="D25" s="11">
        <v>0</v>
      </c>
      <c r="E25" s="1" t="s">
        <v>6</v>
      </c>
      <c r="F25" s="11">
        <v>24</v>
      </c>
    </row>
    <row r="26" spans="1:6" x14ac:dyDescent="0.35">
      <c r="A26" s="7" t="s">
        <v>132</v>
      </c>
      <c r="B26" s="11">
        <v>200200</v>
      </c>
      <c r="C26" s="1" t="s">
        <v>5</v>
      </c>
      <c r="D26" s="11">
        <v>0</v>
      </c>
      <c r="E26" s="1" t="s">
        <v>6</v>
      </c>
      <c r="F26" s="11">
        <v>24</v>
      </c>
    </row>
    <row r="27" spans="1:6" x14ac:dyDescent="0.35">
      <c r="A27" s="7" t="s">
        <v>133</v>
      </c>
      <c r="B27" s="11">
        <v>200220</v>
      </c>
      <c r="C27" s="1" t="s">
        <v>5</v>
      </c>
      <c r="D27" s="11">
        <v>0</v>
      </c>
      <c r="E27" s="1" t="s">
        <v>6</v>
      </c>
      <c r="F27" s="11">
        <v>24</v>
      </c>
    </row>
    <row r="28" spans="1:6" x14ac:dyDescent="0.35">
      <c r="A28" s="7" t="s">
        <v>134</v>
      </c>
      <c r="B28" s="11">
        <v>200240</v>
      </c>
      <c r="C28" s="1" t="s">
        <v>5</v>
      </c>
      <c r="D28" s="11">
        <v>0</v>
      </c>
      <c r="E28" s="1" t="s">
        <v>6</v>
      </c>
      <c r="F28" s="11">
        <v>24</v>
      </c>
    </row>
    <row r="29" spans="1:6" x14ac:dyDescent="0.35">
      <c r="A29" s="7" t="s">
        <v>135</v>
      </c>
      <c r="B29" s="11">
        <v>200260</v>
      </c>
      <c r="C29" s="1" t="s">
        <v>5</v>
      </c>
      <c r="D29" s="11">
        <v>0</v>
      </c>
      <c r="E29" s="1" t="s">
        <v>6</v>
      </c>
      <c r="F29" s="11">
        <v>24</v>
      </c>
    </row>
    <row r="30" spans="1:6" x14ac:dyDescent="0.35">
      <c r="A30" s="7" t="s">
        <v>136</v>
      </c>
      <c r="B30" s="11">
        <v>200280</v>
      </c>
      <c r="C30" s="1" t="s">
        <v>5</v>
      </c>
      <c r="D30" s="11">
        <v>0</v>
      </c>
      <c r="E30" s="1" t="s">
        <v>6</v>
      </c>
      <c r="F30" s="11">
        <v>24</v>
      </c>
    </row>
    <row r="31" spans="1:6" x14ac:dyDescent="0.35">
      <c r="A31" s="7" t="s">
        <v>137</v>
      </c>
      <c r="B31" s="11">
        <v>200300</v>
      </c>
      <c r="C31" s="1" t="s">
        <v>5</v>
      </c>
      <c r="D31" s="11">
        <v>0</v>
      </c>
      <c r="E31" s="1" t="s">
        <v>6</v>
      </c>
      <c r="F31" s="11">
        <v>24</v>
      </c>
    </row>
    <row r="32" spans="1:6" x14ac:dyDescent="0.35">
      <c r="A32" s="7" t="s">
        <v>138</v>
      </c>
      <c r="B32" s="11">
        <v>200320</v>
      </c>
      <c r="C32" s="1" t="s">
        <v>5</v>
      </c>
      <c r="D32" s="11">
        <v>0</v>
      </c>
      <c r="E32" s="1" t="s">
        <v>6</v>
      </c>
      <c r="F32" s="11">
        <v>24</v>
      </c>
    </row>
    <row r="33" spans="1:6" x14ac:dyDescent="0.35">
      <c r="A33" s="7" t="s">
        <v>139</v>
      </c>
      <c r="B33" s="11">
        <v>200340</v>
      </c>
      <c r="C33" s="1" t="s">
        <v>5</v>
      </c>
      <c r="D33" s="11">
        <v>0</v>
      </c>
      <c r="E33" s="1" t="s">
        <v>6</v>
      </c>
      <c r="F33" s="11">
        <v>24</v>
      </c>
    </row>
    <row r="34" spans="1:6" x14ac:dyDescent="0.35">
      <c r="A34" s="7" t="s">
        <v>140</v>
      </c>
      <c r="B34" s="11">
        <v>200360</v>
      </c>
      <c r="C34" s="1" t="s">
        <v>5</v>
      </c>
      <c r="D34" s="11">
        <v>0</v>
      </c>
      <c r="E34" s="1" t="s">
        <v>6</v>
      </c>
      <c r="F34" s="11">
        <v>24</v>
      </c>
    </row>
    <row r="35" spans="1:6" x14ac:dyDescent="0.35">
      <c r="A35" s="7" t="s">
        <v>141</v>
      </c>
      <c r="B35" s="11">
        <v>200380</v>
      </c>
      <c r="C35" s="1" t="s">
        <v>5</v>
      </c>
      <c r="D35" s="11">
        <v>0</v>
      </c>
      <c r="E35" s="1" t="s">
        <v>6</v>
      </c>
      <c r="F35" s="11">
        <v>24</v>
      </c>
    </row>
    <row r="36" spans="1:6" x14ac:dyDescent="0.35">
      <c r="A36" s="7" t="s">
        <v>142</v>
      </c>
      <c r="B36" s="11">
        <v>200400</v>
      </c>
      <c r="C36" s="1" t="s">
        <v>5</v>
      </c>
      <c r="D36" s="11">
        <v>0</v>
      </c>
      <c r="E36" s="1" t="s">
        <v>6</v>
      </c>
      <c r="F36" s="11">
        <v>24</v>
      </c>
    </row>
    <row r="37" spans="1:6" x14ac:dyDescent="0.35">
      <c r="A37" s="7" t="s">
        <v>143</v>
      </c>
      <c r="B37" s="11">
        <v>200420</v>
      </c>
      <c r="C37" s="1" t="s">
        <v>5</v>
      </c>
      <c r="D37" s="11">
        <v>0</v>
      </c>
      <c r="E37" s="1" t="s">
        <v>6</v>
      </c>
      <c r="F37" s="11">
        <v>24</v>
      </c>
    </row>
    <row r="38" spans="1:6" x14ac:dyDescent="0.35">
      <c r="A38" s="7" t="s">
        <v>144</v>
      </c>
      <c r="B38" s="11">
        <v>200440</v>
      </c>
      <c r="C38" s="1" t="s">
        <v>5</v>
      </c>
      <c r="D38" s="11">
        <v>0</v>
      </c>
      <c r="E38" s="1" t="s">
        <v>6</v>
      </c>
      <c r="F38" s="11">
        <v>24</v>
      </c>
    </row>
    <row r="39" spans="1:6" x14ac:dyDescent="0.35">
      <c r="A39" s="7" t="s">
        <v>145</v>
      </c>
      <c r="B39" s="11">
        <v>200460</v>
      </c>
      <c r="C39" s="1" t="s">
        <v>5</v>
      </c>
      <c r="D39" s="11">
        <v>0</v>
      </c>
      <c r="E39" s="1" t="s">
        <v>6</v>
      </c>
      <c r="F39" s="11">
        <v>24</v>
      </c>
    </row>
    <row r="40" spans="1:6" x14ac:dyDescent="0.35">
      <c r="A40" s="7" t="s">
        <v>146</v>
      </c>
      <c r="B40" s="11">
        <v>200480</v>
      </c>
      <c r="C40" s="1" t="s">
        <v>5</v>
      </c>
      <c r="D40" s="11">
        <v>0</v>
      </c>
      <c r="E40" s="1" t="s">
        <v>6</v>
      </c>
      <c r="F40" s="11">
        <v>24</v>
      </c>
    </row>
    <row r="41" spans="1:6" x14ac:dyDescent="0.35">
      <c r="A41" s="7" t="s">
        <v>147</v>
      </c>
      <c r="B41" s="11">
        <v>200500</v>
      </c>
      <c r="C41" s="1" t="s">
        <v>5</v>
      </c>
      <c r="D41" s="11">
        <v>0</v>
      </c>
      <c r="E41" s="1" t="s">
        <v>6</v>
      </c>
      <c r="F41" s="11">
        <v>24</v>
      </c>
    </row>
    <row r="42" spans="1:6" x14ac:dyDescent="0.35">
      <c r="A42" s="7" t="s">
        <v>148</v>
      </c>
      <c r="B42" s="11">
        <v>200520</v>
      </c>
      <c r="C42" s="1" t="s">
        <v>5</v>
      </c>
      <c r="D42" s="11">
        <v>0</v>
      </c>
      <c r="E42" s="1" t="s">
        <v>6</v>
      </c>
      <c r="F42" s="11">
        <v>24</v>
      </c>
    </row>
    <row r="43" spans="1:6" x14ac:dyDescent="0.35">
      <c r="A43" s="7" t="s">
        <v>149</v>
      </c>
      <c r="B43" s="11">
        <v>200540</v>
      </c>
      <c r="C43" s="1" t="s">
        <v>5</v>
      </c>
      <c r="D43" s="11">
        <v>0</v>
      </c>
      <c r="E43" s="1" t="s">
        <v>6</v>
      </c>
      <c r="F43" s="11">
        <v>24</v>
      </c>
    </row>
    <row r="44" spans="1:6" x14ac:dyDescent="0.35">
      <c r="A44" s="7" t="s">
        <v>150</v>
      </c>
      <c r="B44" s="11">
        <v>200580</v>
      </c>
      <c r="C44" s="1" t="s">
        <v>5</v>
      </c>
      <c r="D44" s="11">
        <v>0</v>
      </c>
      <c r="E44" s="1" t="s">
        <v>6</v>
      </c>
      <c r="F44" s="11">
        <v>24</v>
      </c>
    </row>
    <row r="45" spans="1:6" x14ac:dyDescent="0.35">
      <c r="A45" s="7" t="s">
        <v>151</v>
      </c>
      <c r="B45" s="11">
        <v>200600</v>
      </c>
      <c r="C45" s="1" t="s">
        <v>5</v>
      </c>
      <c r="D45" s="11">
        <v>0</v>
      </c>
      <c r="E45" s="1" t="s">
        <v>6</v>
      </c>
      <c r="F45" s="11">
        <v>24</v>
      </c>
    </row>
    <row r="46" spans="1:6" x14ac:dyDescent="0.35">
      <c r="A46" s="7" t="s">
        <v>113</v>
      </c>
      <c r="B46" s="11">
        <v>210000</v>
      </c>
      <c r="C46" s="1" t="s">
        <v>5</v>
      </c>
      <c r="D46" s="11">
        <v>1</v>
      </c>
      <c r="E46" s="1" t="s">
        <v>6</v>
      </c>
      <c r="F46" s="11">
        <v>24</v>
      </c>
    </row>
    <row r="47" spans="1:6" x14ac:dyDescent="0.35">
      <c r="A47" s="7" t="s">
        <v>114</v>
      </c>
      <c r="B47" s="11">
        <v>210020</v>
      </c>
      <c r="C47" s="1" t="s">
        <v>5</v>
      </c>
      <c r="D47" s="11">
        <v>1</v>
      </c>
      <c r="E47" s="1" t="s">
        <v>6</v>
      </c>
      <c r="F47" s="11">
        <v>24</v>
      </c>
    </row>
    <row r="48" spans="1:6" x14ac:dyDescent="0.35">
      <c r="A48" s="7" t="s">
        <v>115</v>
      </c>
      <c r="B48" s="11">
        <v>210040</v>
      </c>
      <c r="C48" s="1" t="s">
        <v>5</v>
      </c>
      <c r="D48" s="11">
        <v>1</v>
      </c>
      <c r="E48" s="1" t="s">
        <v>6</v>
      </c>
      <c r="F48" s="11">
        <v>24</v>
      </c>
    </row>
    <row r="49" spans="1:6" x14ac:dyDescent="0.35">
      <c r="A49" s="7" t="s">
        <v>116</v>
      </c>
      <c r="B49" s="11">
        <v>210060</v>
      </c>
      <c r="C49" s="1" t="s">
        <v>5</v>
      </c>
      <c r="D49" s="11">
        <v>1</v>
      </c>
      <c r="E49" s="1" t="s">
        <v>6</v>
      </c>
      <c r="F49" s="11">
        <v>24</v>
      </c>
    </row>
    <row r="50" spans="1:6" x14ac:dyDescent="0.35">
      <c r="A50" s="7" t="s">
        <v>117</v>
      </c>
      <c r="B50" s="11">
        <v>210080</v>
      </c>
      <c r="C50" s="1" t="s">
        <v>5</v>
      </c>
      <c r="D50" s="11">
        <v>1</v>
      </c>
      <c r="E50" s="1" t="s">
        <v>6</v>
      </c>
      <c r="F50" s="11">
        <v>24</v>
      </c>
    </row>
    <row r="51" spans="1:6" x14ac:dyDescent="0.35">
      <c r="A51" s="7" t="s">
        <v>118</v>
      </c>
      <c r="B51" s="11">
        <v>210100</v>
      </c>
      <c r="C51" s="1" t="s">
        <v>5</v>
      </c>
      <c r="D51" s="11">
        <v>1</v>
      </c>
      <c r="E51" s="1" t="s">
        <v>6</v>
      </c>
      <c r="F51" s="11">
        <v>24</v>
      </c>
    </row>
    <row r="52" spans="1:6" x14ac:dyDescent="0.35">
      <c r="A52" s="7" t="s">
        <v>119</v>
      </c>
      <c r="B52" s="11">
        <v>210120</v>
      </c>
      <c r="C52" s="1" t="s">
        <v>5</v>
      </c>
      <c r="D52" s="11">
        <v>1</v>
      </c>
      <c r="E52" s="1" t="s">
        <v>6</v>
      </c>
      <c r="F52" s="11">
        <v>24</v>
      </c>
    </row>
    <row r="53" spans="1:6" x14ac:dyDescent="0.35">
      <c r="A53" s="7" t="s">
        <v>120</v>
      </c>
      <c r="B53" s="11">
        <v>210140</v>
      </c>
      <c r="C53" s="1" t="s">
        <v>5</v>
      </c>
      <c r="D53" s="11">
        <v>1</v>
      </c>
      <c r="E53" s="1" t="s">
        <v>6</v>
      </c>
      <c r="F53" s="11">
        <v>24</v>
      </c>
    </row>
    <row r="54" spans="1:6" x14ac:dyDescent="0.35">
      <c r="A54" s="9" t="s">
        <v>121</v>
      </c>
      <c r="B54" s="12">
        <v>210160</v>
      </c>
      <c r="C54" s="1" t="s">
        <v>5</v>
      </c>
      <c r="D54" s="12">
        <v>1</v>
      </c>
      <c r="E54" s="1" t="s">
        <v>6</v>
      </c>
      <c r="F54" s="12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topLeftCell="A2" zoomScaleNormal="100" workbookViewId="0">
      <selection activeCell="E9" sqref="E9"/>
    </sheetView>
  </sheetViews>
  <sheetFormatPr defaultColWidth="11" defaultRowHeight="13" x14ac:dyDescent="0.3"/>
  <cols>
    <col min="1" max="1" width="28.19921875" style="2" bestFit="1" customWidth="1"/>
    <col min="2" max="2" width="17.796875" style="2" bestFit="1" customWidth="1"/>
    <col min="3" max="3" width="11" style="2" bestFit="1" customWidth="1"/>
    <col min="4" max="4" width="13.19921875" style="2" bestFit="1" customWidth="1"/>
    <col min="5" max="5" width="10.796875" style="2" bestFit="1" customWidth="1"/>
    <col min="6" max="6" width="13.3984375" style="2" bestFit="1" customWidth="1"/>
    <col min="7" max="8" width="14.59765625" style="2" bestFit="1" customWidth="1"/>
    <col min="9" max="9" width="17.796875" style="2" bestFit="1" customWidth="1"/>
    <col min="10" max="10" width="11" style="2" bestFit="1" customWidth="1"/>
    <col min="11" max="11" width="9" style="2" bestFit="1" customWidth="1"/>
    <col min="12" max="12" width="10.796875" style="2" bestFit="1" customWidth="1"/>
    <col min="13" max="13" width="12.3984375" style="2" bestFit="1" customWidth="1"/>
    <col min="14" max="14" width="11" style="2" bestFit="1" customWidth="1"/>
    <col min="15" max="15" width="8" style="2" bestFit="1" customWidth="1"/>
    <col min="16" max="16" width="12.3984375" style="2" bestFit="1" customWidth="1"/>
    <col min="17" max="17" width="12.59765625" style="2" bestFit="1" customWidth="1"/>
    <col min="18" max="18" width="24.19921875" style="2" bestFit="1" customWidth="1"/>
    <col min="19" max="19" width="12.59765625" style="2" bestFit="1" customWidth="1"/>
    <col min="20" max="20" width="16" style="2" bestFit="1" customWidth="1"/>
    <col min="21" max="21" width="9" style="2" bestFit="1" customWidth="1"/>
    <col min="22" max="22" width="10.796875" style="2" bestFit="1" customWidth="1"/>
    <col min="23" max="24" width="13.3984375" style="2" bestFit="1" customWidth="1"/>
    <col min="25" max="25" width="15" style="2" bestFit="1" customWidth="1"/>
    <col min="26" max="16384" width="11" style="2"/>
  </cols>
  <sheetData>
    <row r="1" spans="1:3" ht="21" x14ac:dyDescent="0.5">
      <c r="A1" s="42" t="s">
        <v>85</v>
      </c>
      <c r="B1" s="41" t="s">
        <v>168</v>
      </c>
    </row>
    <row r="2" spans="1:3" ht="18.5" x14ac:dyDescent="0.45">
      <c r="B2" s="40" t="s">
        <v>167</v>
      </c>
    </row>
    <row r="5" spans="1:3" ht="14.5" x14ac:dyDescent="0.35">
      <c r="B5" s="1" t="s">
        <v>152</v>
      </c>
    </row>
    <row r="6" spans="1:3" ht="14.5" x14ac:dyDescent="0.35">
      <c r="A6" s="3" t="s">
        <v>53</v>
      </c>
      <c r="B6" s="1" t="s">
        <v>178</v>
      </c>
    </row>
    <row r="7" spans="1:3" ht="14.5" x14ac:dyDescent="0.35">
      <c r="A7" s="3" t="s">
        <v>154</v>
      </c>
      <c r="B7" s="1" t="s">
        <v>179</v>
      </c>
    </row>
    <row r="10" spans="1:3" ht="23.5" x14ac:dyDescent="0.55000000000000004">
      <c r="A10" s="17" t="s">
        <v>163</v>
      </c>
    </row>
    <row r="11" spans="1:3" ht="14.5" x14ac:dyDescent="0.35">
      <c r="A11" s="32" t="s">
        <v>86</v>
      </c>
      <c r="B11" s="16" t="s">
        <v>87</v>
      </c>
      <c r="C11" s="16" t="s">
        <v>88</v>
      </c>
    </row>
    <row r="12" spans="1:3" ht="14.5" x14ac:dyDescent="0.35">
      <c r="A12" s="32">
        <v>44927</v>
      </c>
      <c r="B12" s="16" t="s">
        <v>59</v>
      </c>
      <c r="C12" s="16">
        <v>200</v>
      </c>
    </row>
    <row r="13" spans="1:3" ht="14.5" x14ac:dyDescent="0.35">
      <c r="A13" s="32">
        <v>44928</v>
      </c>
      <c r="B13" s="16" t="s">
        <v>60</v>
      </c>
      <c r="C13" s="16" t="e">
        <v>#N/A</v>
      </c>
    </row>
    <row r="14" spans="1:3" ht="14.5" x14ac:dyDescent="0.35">
      <c r="A14" s="32">
        <v>44929</v>
      </c>
      <c r="B14" s="16" t="s">
        <v>61</v>
      </c>
      <c r="C14" s="16">
        <v>50</v>
      </c>
    </row>
    <row r="15" spans="1:3" ht="14.5" x14ac:dyDescent="0.35">
      <c r="A15" s="32">
        <v>44930</v>
      </c>
      <c r="B15" s="16" t="s">
        <v>62</v>
      </c>
      <c r="C15" s="16" t="e">
        <v>#N/A</v>
      </c>
    </row>
    <row r="16" spans="1:3" ht="14.5" x14ac:dyDescent="0.35">
      <c r="A16" s="32">
        <v>44931</v>
      </c>
      <c r="B16" s="16" t="s">
        <v>63</v>
      </c>
      <c r="C16" s="16">
        <v>10</v>
      </c>
    </row>
    <row r="17" spans="1:3" ht="14.5" x14ac:dyDescent="0.35">
      <c r="A17" s="32">
        <v>44932</v>
      </c>
      <c r="B17" s="16" t="s">
        <v>155</v>
      </c>
      <c r="C17" s="16">
        <v>150</v>
      </c>
    </row>
    <row r="18" spans="1:3" ht="14.5" x14ac:dyDescent="0.35">
      <c r="A18" s="32">
        <v>44933</v>
      </c>
      <c r="B18" s="16" t="s">
        <v>156</v>
      </c>
      <c r="C18" s="16">
        <v>80</v>
      </c>
    </row>
    <row r="19" spans="1:3" ht="14.5" x14ac:dyDescent="0.35">
      <c r="A19" s="32">
        <v>44934</v>
      </c>
      <c r="B19" s="16" t="s">
        <v>157</v>
      </c>
      <c r="C19" s="16" t="e">
        <v>#N/A</v>
      </c>
    </row>
    <row r="20" spans="1:3" ht="14.5" x14ac:dyDescent="0.35">
      <c r="A20" s="32">
        <v>44935</v>
      </c>
      <c r="B20" s="16" t="s">
        <v>158</v>
      </c>
      <c r="C20" s="16">
        <v>30</v>
      </c>
    </row>
    <row r="21" spans="1:3" ht="14.5" x14ac:dyDescent="0.35">
      <c r="A21" s="32">
        <v>44936</v>
      </c>
      <c r="B21" s="16" t="s">
        <v>159</v>
      </c>
      <c r="C21" s="16" t="e">
        <v>#N/A</v>
      </c>
    </row>
    <row r="22" spans="1:3" ht="14.5" x14ac:dyDescent="0.35">
      <c r="B22" s="16" t="s">
        <v>160</v>
      </c>
      <c r="C22" s="24">
        <f>_xlfn.AGGREGATE(9,2,C12:C21)</f>
        <v>520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zoomScaleNormal="100" workbookViewId="0">
      <selection activeCell="C5" sqref="C5:N5"/>
    </sheetView>
  </sheetViews>
  <sheetFormatPr defaultColWidth="11" defaultRowHeight="13" x14ac:dyDescent="0.3"/>
  <cols>
    <col min="1" max="1" width="28.19921875" style="2" bestFit="1" customWidth="1"/>
    <col min="2" max="16384" width="11" style="2"/>
  </cols>
  <sheetData>
    <row r="1" spans="1:14" ht="21" x14ac:dyDescent="0.5">
      <c r="A1" s="42" t="s">
        <v>98</v>
      </c>
      <c r="B1" s="41" t="s">
        <v>176</v>
      </c>
    </row>
    <row r="3" spans="1:14" ht="14.5" x14ac:dyDescent="0.35">
      <c r="B3" s="1" t="s">
        <v>152</v>
      </c>
    </row>
    <row r="4" spans="1:14" ht="18.5" x14ac:dyDescent="0.45">
      <c r="A4" s="43" t="s">
        <v>53</v>
      </c>
      <c r="B4" s="1"/>
      <c r="C4" s="2" t="s">
        <v>180</v>
      </c>
    </row>
    <row r="5" spans="1:14" ht="18.5" x14ac:dyDescent="0.45">
      <c r="A5" s="43" t="s">
        <v>154</v>
      </c>
      <c r="B5" s="1"/>
      <c r="C5" s="46" t="s">
        <v>181</v>
      </c>
      <c r="D5" s="46"/>
      <c r="E5" s="46"/>
      <c r="F5" s="46"/>
      <c r="G5" s="46"/>
      <c r="H5" s="46"/>
      <c r="I5" s="46"/>
      <c r="J5" s="46"/>
      <c r="K5" s="46"/>
      <c r="L5" s="46"/>
      <c r="M5" s="46"/>
      <c r="N5" s="46"/>
    </row>
    <row r="6" spans="1:14" ht="14.5" x14ac:dyDescent="0.35">
      <c r="A6" s="3"/>
      <c r="B6" s="1"/>
    </row>
    <row r="8" spans="1:14" ht="23.5" x14ac:dyDescent="0.55000000000000004">
      <c r="A8" s="45" t="s">
        <v>163</v>
      </c>
      <c r="B8" s="45"/>
      <c r="C8" s="45"/>
      <c r="D8" s="45"/>
      <c r="E8" s="45"/>
      <c r="F8" s="45"/>
      <c r="G8" s="45"/>
      <c r="H8" s="45"/>
      <c r="I8" s="45"/>
      <c r="J8" s="45"/>
      <c r="M8" s="17" t="s">
        <v>164</v>
      </c>
    </row>
    <row r="9" spans="1:14" ht="14.5" x14ac:dyDescent="0.35">
      <c r="A9" s="25"/>
      <c r="B9" s="25" t="s">
        <v>89</v>
      </c>
      <c r="C9" s="25" t="s">
        <v>90</v>
      </c>
      <c r="D9" s="25" t="s">
        <v>91</v>
      </c>
      <c r="E9" s="25" t="s">
        <v>92</v>
      </c>
      <c r="F9" s="25" t="s">
        <v>93</v>
      </c>
      <c r="G9" s="25" t="s">
        <v>94</v>
      </c>
      <c r="H9" s="25" t="s">
        <v>95</v>
      </c>
      <c r="I9" s="25" t="s">
        <v>96</v>
      </c>
      <c r="J9" s="25" t="s">
        <v>97</v>
      </c>
      <c r="M9" s="18" t="s">
        <v>43</v>
      </c>
      <c r="N9" s="18" t="s">
        <v>99</v>
      </c>
    </row>
    <row r="10" spans="1:14" ht="14.5" x14ac:dyDescent="0.35">
      <c r="A10" s="25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89</v>
      </c>
    </row>
    <row r="11" spans="1:14" ht="14.5" x14ac:dyDescent="0.35">
      <c r="A11" s="25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90</v>
      </c>
    </row>
    <row r="12" spans="1:14" ht="14.5" x14ac:dyDescent="0.35">
      <c r="A12" s="25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91</v>
      </c>
    </row>
    <row r="13" spans="1:14" ht="14.5" x14ac:dyDescent="0.35">
      <c r="A13" s="25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92</v>
      </c>
    </row>
    <row r="14" spans="1:14" ht="14.5" x14ac:dyDescent="0.35">
      <c r="A14" s="25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93</v>
      </c>
    </row>
    <row r="15" spans="1:14" ht="14.5" x14ac:dyDescent="0.35">
      <c r="A15" s="25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94</v>
      </c>
    </row>
    <row r="16" spans="1:14" ht="14.5" x14ac:dyDescent="0.35">
      <c r="A16" s="25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95</v>
      </c>
    </row>
    <row r="17" spans="1:14" ht="14.5" x14ac:dyDescent="0.35">
      <c r="A17" s="25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96</v>
      </c>
    </row>
    <row r="18" spans="1:14" ht="14.5" x14ac:dyDescent="0.35">
      <c r="A18" s="25" t="s">
        <v>97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97</v>
      </c>
    </row>
    <row r="21" spans="1:14" ht="23.5" x14ac:dyDescent="0.55000000000000004">
      <c r="A21" s="17" t="s">
        <v>169</v>
      </c>
    </row>
    <row r="22" spans="1:14" ht="14.5" x14ac:dyDescent="0.35">
      <c r="A22" s="13" t="s">
        <v>100</v>
      </c>
      <c r="B22" s="16" t="s">
        <v>101</v>
      </c>
      <c r="C22" s="15" t="s">
        <v>102</v>
      </c>
    </row>
    <row r="23" spans="1:14" ht="14.5" x14ac:dyDescent="0.35">
      <c r="A23" s="7">
        <v>10100</v>
      </c>
      <c r="B23" s="11">
        <v>10102</v>
      </c>
      <c r="C23" s="44" t="str">
        <f>VLOOKUP(B23,IF(A23=2,Table1,Table2),2)</f>
        <v>B</v>
      </c>
    </row>
    <row r="24" spans="1:14" ht="14.5" x14ac:dyDescent="0.35">
      <c r="A24" s="7">
        <v>10100</v>
      </c>
      <c r="B24" s="11">
        <v>10104</v>
      </c>
      <c r="C24" s="44" t="str">
        <f>VLOOKUP(B24,IF(A24=2,Table1,Table2),2)</f>
        <v>C</v>
      </c>
    </row>
    <row r="25" spans="1:14" ht="14.5" x14ac:dyDescent="0.35">
      <c r="A25" s="7">
        <v>10108</v>
      </c>
      <c r="B25" s="11">
        <v>10102</v>
      </c>
      <c r="C25" s="44" t="str">
        <f>VLOOKUP(B25,IF(A25=2,Table1,Table2),2)</f>
        <v>B</v>
      </c>
    </row>
    <row r="26" spans="1:14" ht="14.5" x14ac:dyDescent="0.35">
      <c r="A26" s="7">
        <v>10100</v>
      </c>
      <c r="B26" s="11">
        <v>10106</v>
      </c>
      <c r="C26" s="44" t="str">
        <f>VLOOKUP(B26,IF(A26=2,Table1,Table2),2)</f>
        <v>D</v>
      </c>
    </row>
    <row r="27" spans="1:14" ht="14.5" x14ac:dyDescent="0.35">
      <c r="A27" s="7">
        <v>10108</v>
      </c>
      <c r="B27" s="11">
        <v>10110</v>
      </c>
      <c r="C27" s="44" t="str">
        <f>VLOOKUP(B27,IF(A27=2,Table1,Table2),2)</f>
        <v>F</v>
      </c>
    </row>
    <row r="28" spans="1:14" ht="14.5" x14ac:dyDescent="0.35">
      <c r="A28" s="7">
        <v>10102</v>
      </c>
      <c r="B28" s="11">
        <v>10104</v>
      </c>
      <c r="C28" s="44" t="str">
        <f>VLOOKUP(B28,IF(A28=2,Table1,Table2),2)</f>
        <v>C</v>
      </c>
    </row>
    <row r="29" spans="1:14" ht="14.5" x14ac:dyDescent="0.35">
      <c r="A29" s="7">
        <v>10106</v>
      </c>
      <c r="B29" s="11">
        <v>10108</v>
      </c>
      <c r="C29" s="44" t="str">
        <f>VLOOKUP(B29,IF(A29=2,Table1,Table2),2)</f>
        <v>E</v>
      </c>
    </row>
    <row r="30" spans="1:14" ht="14.5" x14ac:dyDescent="0.35">
      <c r="A30" s="7">
        <v>10102</v>
      </c>
      <c r="B30" s="11">
        <v>10106</v>
      </c>
      <c r="C30" s="44" t="str">
        <f>VLOOKUP(B30,IF(A30=2,Table1,Table2),2)</f>
        <v>D</v>
      </c>
    </row>
    <row r="31" spans="1:14" ht="14.5" x14ac:dyDescent="0.35">
      <c r="A31" s="7">
        <v>10110</v>
      </c>
      <c r="B31" s="11">
        <v>10114</v>
      </c>
      <c r="C31" s="44" t="str">
        <f>VLOOKUP(B31,IF(A31=2,Table1,Table2),2)</f>
        <v>H</v>
      </c>
    </row>
    <row r="32" spans="1:14" ht="14.5" x14ac:dyDescent="0.35">
      <c r="A32" s="7">
        <v>10104</v>
      </c>
      <c r="B32" s="11">
        <v>10106</v>
      </c>
      <c r="C32" s="44" t="str">
        <f>VLOOKUP(B32,IF(A32=2,Table1,Table2),2)</f>
        <v>D</v>
      </c>
    </row>
    <row r="33" spans="1:3" ht="14.5" x14ac:dyDescent="0.35">
      <c r="A33" s="7">
        <v>10110</v>
      </c>
      <c r="B33" s="11">
        <v>10112</v>
      </c>
      <c r="C33" s="44" t="str">
        <f>VLOOKUP(B33,IF(A33=2,Table1,Table2),2)</f>
        <v>G</v>
      </c>
    </row>
    <row r="34" spans="1:3" ht="14.5" x14ac:dyDescent="0.35">
      <c r="A34" s="7">
        <v>10100</v>
      </c>
      <c r="B34" s="11">
        <v>10114</v>
      </c>
      <c r="C34" s="44" t="str">
        <f>VLOOKUP(B34,IF(A34=2,Table1,Table2),2)</f>
        <v>H</v>
      </c>
    </row>
    <row r="35" spans="1:3" ht="14.5" x14ac:dyDescent="0.35">
      <c r="A35" s="9">
        <v>10112</v>
      </c>
      <c r="B35" s="12">
        <v>10116</v>
      </c>
      <c r="C35" s="44" t="str">
        <f>VLOOKUP(B35,IF(A35=2,Table1,Table2),2)</f>
        <v>I</v>
      </c>
    </row>
  </sheetData>
  <mergeCells count="2">
    <mergeCell ref="A8:J8"/>
    <mergeCell ref="C5:N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</vt:i4>
      </vt:variant>
    </vt:vector>
  </HeadingPairs>
  <TitlesOfParts>
    <vt:vector size="11" baseType="lpstr">
      <vt:lpstr>Instructions</vt:lpstr>
      <vt:lpstr>Dataset</vt:lpstr>
      <vt:lpstr>Task_1</vt:lpstr>
      <vt:lpstr>Task_2</vt:lpstr>
      <vt:lpstr>Task_3</vt:lpstr>
      <vt:lpstr>Task_4</vt:lpstr>
      <vt:lpstr>Task_5</vt:lpstr>
      <vt:lpstr>Table1</vt:lpstr>
      <vt:lpstr>Table2</vt:lpstr>
      <vt:lpstr>TableA</vt:lpstr>
      <vt:lpstr>TableB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Ravi Mogili</cp:lastModifiedBy>
  <dcterms:created xsi:type="dcterms:W3CDTF">2015-02-10T17:33:11Z</dcterms:created>
  <dcterms:modified xsi:type="dcterms:W3CDTF">2023-12-12T13:17:48Z</dcterms:modified>
</cp:coreProperties>
</file>